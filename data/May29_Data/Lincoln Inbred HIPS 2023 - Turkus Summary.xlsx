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ofnebraska-my.sharepoint.com/personal/91803982_nebraska_edu/Documents/Planting Harvest Field Related/2023/HIPS/Inbred HIPS/"/>
    </mc:Choice>
  </mc:AlternateContent>
  <xr:revisionPtr revIDLastSave="453" documentId="8_{0053F18B-BA7C-4726-9450-23A8CF5BCDD8}" xr6:coauthVersionLast="47" xr6:coauthVersionMax="47" xr10:uidLastSave="{3478D26D-54B2-4B67-BF2B-4CFF7428E4AC}"/>
  <bookViews>
    <workbookView xWindow="-98" yWindow="-98" windowWidth="21795" windowHeight="12975" xr2:uid="{CBBDDF9F-E074-4F19-A2CC-87B826101939}"/>
  </bookViews>
  <sheets>
    <sheet name="ReadMe" sheetId="1" r:id="rId1"/>
    <sheet name="Metadata" sheetId="2" r:id="rId2"/>
    <sheet name="Field Layout" sheetId="9" r:id="rId3"/>
    <sheet name="Index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15" i="6" l="1"/>
  <c r="A2" i="6"/>
  <c r="A3" i="6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A349" i="6"/>
  <c r="A350" i="6"/>
  <c r="A351" i="6"/>
  <c r="A352" i="6"/>
  <c r="A353" i="6"/>
  <c r="A354" i="6"/>
  <c r="A355" i="6"/>
  <c r="A356" i="6"/>
  <c r="A357" i="6"/>
  <c r="A358" i="6"/>
  <c r="A359" i="6"/>
  <c r="A360" i="6"/>
  <c r="A361" i="6"/>
  <c r="A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78" i="6"/>
  <c r="A379" i="6"/>
  <c r="A380" i="6"/>
  <c r="A381" i="6"/>
  <c r="A382" i="6"/>
  <c r="A383" i="6"/>
  <c r="A384" i="6"/>
  <c r="A385" i="6"/>
  <c r="A386" i="6"/>
  <c r="A387" i="6"/>
  <c r="A388" i="6"/>
  <c r="A389" i="6"/>
  <c r="A390" i="6"/>
  <c r="A391" i="6"/>
  <c r="A392" i="6"/>
  <c r="A393" i="6"/>
  <c r="A394" i="6"/>
  <c r="A395" i="6"/>
  <c r="A396" i="6"/>
  <c r="A397" i="6"/>
  <c r="A398" i="6"/>
  <c r="A399" i="6"/>
  <c r="A400" i="6"/>
  <c r="A401" i="6"/>
  <c r="A402" i="6"/>
  <c r="A403" i="6"/>
  <c r="A404" i="6"/>
  <c r="A405" i="6"/>
  <c r="A406" i="6"/>
  <c r="A407" i="6"/>
  <c r="A408" i="6"/>
  <c r="A409" i="6"/>
  <c r="A410" i="6"/>
  <c r="A411" i="6"/>
  <c r="A412" i="6"/>
  <c r="A413" i="6"/>
  <c r="A414" i="6"/>
  <c r="A416" i="6"/>
  <c r="A417" i="6"/>
  <c r="A418" i="6"/>
  <c r="A419" i="6"/>
  <c r="A420" i="6"/>
  <c r="A421" i="6"/>
  <c r="A422" i="6"/>
  <c r="A423" i="6"/>
  <c r="A424" i="6"/>
  <c r="A425" i="6"/>
  <c r="A426" i="6"/>
  <c r="A427" i="6"/>
  <c r="A428" i="6"/>
  <c r="A429" i="6"/>
  <c r="A430" i="6"/>
  <c r="A431" i="6"/>
  <c r="A432" i="6"/>
  <c r="A433" i="6"/>
  <c r="A434" i="6"/>
  <c r="A435" i="6"/>
  <c r="A436" i="6"/>
  <c r="A437" i="6"/>
  <c r="A438" i="6"/>
  <c r="A439" i="6"/>
  <c r="A440" i="6"/>
  <c r="A441" i="6"/>
  <c r="A442" i="6"/>
  <c r="A443" i="6"/>
  <c r="A444" i="6"/>
  <c r="A445" i="6"/>
  <c r="A446" i="6"/>
  <c r="A447" i="6"/>
  <c r="A448" i="6"/>
  <c r="A449" i="6"/>
  <c r="A450" i="6"/>
  <c r="A451" i="6"/>
  <c r="A452" i="6"/>
  <c r="A453" i="6"/>
  <c r="A454" i="6"/>
  <c r="A455" i="6"/>
  <c r="A456" i="6"/>
  <c r="A457" i="6"/>
  <c r="A458" i="6"/>
  <c r="A459" i="6"/>
  <c r="A460" i="6"/>
  <c r="A461" i="6"/>
  <c r="A462" i="6"/>
  <c r="A463" i="6"/>
  <c r="A464" i="6"/>
  <c r="A465" i="6"/>
  <c r="A466" i="6"/>
  <c r="A467" i="6"/>
  <c r="A468" i="6"/>
  <c r="A469" i="6"/>
  <c r="A470" i="6"/>
  <c r="A471" i="6"/>
  <c r="A472" i="6"/>
  <c r="A473" i="6"/>
  <c r="A474" i="6"/>
  <c r="A475" i="6"/>
  <c r="A476" i="6"/>
  <c r="A477" i="6"/>
  <c r="A478" i="6"/>
  <c r="A479" i="6"/>
  <c r="A480" i="6"/>
  <c r="A481" i="6"/>
  <c r="A482" i="6"/>
  <c r="A483" i="6"/>
  <c r="A484" i="6"/>
  <c r="A485" i="6"/>
  <c r="A486" i="6"/>
  <c r="A487" i="6"/>
  <c r="A488" i="6"/>
  <c r="A489" i="6"/>
  <c r="A490" i="6"/>
  <c r="A491" i="6"/>
  <c r="A492" i="6"/>
  <c r="A493" i="6"/>
  <c r="A494" i="6"/>
  <c r="A495" i="6"/>
  <c r="A496" i="6"/>
  <c r="A497" i="6"/>
  <c r="A498" i="6"/>
  <c r="A499" i="6"/>
  <c r="A500" i="6"/>
  <c r="A501" i="6"/>
  <c r="A502" i="6"/>
  <c r="A503" i="6"/>
  <c r="A504" i="6"/>
  <c r="A505" i="6"/>
  <c r="A506" i="6"/>
  <c r="A507" i="6"/>
  <c r="A508" i="6"/>
  <c r="A509" i="6"/>
  <c r="A510" i="6"/>
  <c r="A511" i="6"/>
  <c r="A512" i="6"/>
  <c r="A513" i="6"/>
  <c r="A514" i="6"/>
  <c r="A515" i="6"/>
  <c r="A516" i="6"/>
  <c r="A517" i="6"/>
  <c r="A518" i="6"/>
  <c r="A519" i="6"/>
  <c r="A520" i="6"/>
  <c r="A521" i="6"/>
  <c r="A522" i="6"/>
  <c r="A523" i="6"/>
  <c r="A524" i="6"/>
  <c r="A525" i="6"/>
  <c r="A526" i="6"/>
  <c r="A527" i="6"/>
  <c r="A528" i="6"/>
  <c r="A529" i="6"/>
  <c r="A530" i="6"/>
  <c r="A531" i="6"/>
  <c r="A532" i="6"/>
  <c r="A533" i="6"/>
  <c r="A534" i="6"/>
  <c r="A535" i="6"/>
  <c r="A536" i="6"/>
  <c r="A537" i="6"/>
  <c r="A538" i="6"/>
  <c r="A539" i="6"/>
  <c r="A540" i="6"/>
  <c r="A541" i="6"/>
  <c r="A542" i="6"/>
  <c r="A543" i="6"/>
  <c r="A544" i="6"/>
  <c r="A545" i="6"/>
  <c r="A546" i="6"/>
  <c r="A547" i="6"/>
  <c r="A548" i="6"/>
  <c r="A549" i="6"/>
  <c r="A550" i="6"/>
  <c r="A551" i="6"/>
  <c r="A552" i="6"/>
  <c r="A553" i="6"/>
  <c r="A554" i="6"/>
  <c r="A555" i="6"/>
  <c r="A556" i="6"/>
  <c r="A557" i="6"/>
  <c r="A558" i="6"/>
  <c r="A559" i="6"/>
  <c r="A560" i="6"/>
  <c r="A561" i="6"/>
  <c r="A562" i="6"/>
  <c r="A563" i="6"/>
  <c r="A564" i="6"/>
  <c r="A565" i="6"/>
  <c r="A566" i="6"/>
  <c r="A567" i="6"/>
  <c r="A568" i="6"/>
  <c r="A569" i="6"/>
  <c r="A570" i="6"/>
  <c r="A571" i="6"/>
  <c r="A572" i="6"/>
  <c r="A573" i="6"/>
  <c r="A574" i="6"/>
  <c r="A575" i="6"/>
  <c r="A576" i="6"/>
  <c r="A577" i="6"/>
  <c r="A578" i="6"/>
  <c r="A579" i="6"/>
  <c r="A580" i="6"/>
  <c r="A581" i="6"/>
  <c r="A582" i="6"/>
  <c r="A583" i="6"/>
  <c r="A584" i="6"/>
  <c r="A585" i="6"/>
  <c r="A586" i="6"/>
  <c r="A587" i="6"/>
  <c r="A588" i="6"/>
  <c r="A589" i="6"/>
  <c r="A590" i="6"/>
  <c r="A591" i="6"/>
  <c r="A592" i="6"/>
  <c r="A593" i="6"/>
  <c r="A594" i="6"/>
  <c r="A595" i="6"/>
  <c r="A596" i="6"/>
  <c r="A597" i="6"/>
  <c r="A598" i="6"/>
  <c r="A599" i="6"/>
  <c r="A600" i="6"/>
  <c r="A601" i="6"/>
  <c r="A602" i="6"/>
  <c r="A603" i="6"/>
  <c r="A604" i="6"/>
  <c r="A605" i="6"/>
  <c r="A606" i="6"/>
  <c r="A607" i="6"/>
  <c r="A608" i="6"/>
  <c r="A609" i="6"/>
  <c r="A610" i="6"/>
  <c r="A611" i="6"/>
  <c r="A612" i="6"/>
  <c r="A613" i="6"/>
  <c r="A614" i="6"/>
  <c r="A615" i="6"/>
  <c r="A616" i="6"/>
  <c r="A617" i="6"/>
  <c r="A618" i="6"/>
  <c r="A619" i="6"/>
  <c r="A620" i="6"/>
  <c r="A621" i="6"/>
  <c r="A622" i="6"/>
  <c r="A623" i="6"/>
  <c r="A624" i="6"/>
  <c r="A625" i="6"/>
  <c r="A626" i="6"/>
  <c r="A627" i="6"/>
  <c r="A628" i="6"/>
  <c r="A629" i="6"/>
  <c r="A630" i="6"/>
  <c r="A631" i="6"/>
  <c r="A632" i="6"/>
  <c r="A633" i="6"/>
  <c r="A634" i="6"/>
  <c r="A635" i="6"/>
  <c r="A636" i="6"/>
  <c r="A637" i="6"/>
  <c r="A638" i="6"/>
  <c r="A639" i="6"/>
  <c r="A640" i="6"/>
  <c r="A641" i="6"/>
  <c r="A642" i="6"/>
  <c r="A643" i="6"/>
  <c r="A644" i="6"/>
  <c r="A645" i="6"/>
  <c r="A646" i="6"/>
  <c r="A647" i="6"/>
  <c r="A648" i="6"/>
  <c r="A649" i="6"/>
  <c r="A650" i="6"/>
  <c r="A651" i="6"/>
  <c r="A652" i="6"/>
  <c r="A653" i="6"/>
  <c r="A654" i="6"/>
  <c r="A655" i="6"/>
  <c r="A656" i="6"/>
  <c r="A657" i="6"/>
  <c r="A658" i="6"/>
  <c r="A659" i="6"/>
  <c r="A660" i="6"/>
  <c r="A661" i="6"/>
  <c r="A662" i="6"/>
  <c r="A663" i="6"/>
  <c r="A664" i="6"/>
  <c r="A665" i="6"/>
  <c r="A666" i="6"/>
  <c r="A667" i="6"/>
  <c r="A668" i="6"/>
  <c r="A669" i="6"/>
  <c r="A670" i="6"/>
  <c r="A671" i="6"/>
  <c r="A672" i="6"/>
  <c r="A673" i="6"/>
  <c r="A674" i="6"/>
  <c r="A675" i="6"/>
  <c r="A676" i="6"/>
  <c r="A677" i="6"/>
  <c r="A678" i="6"/>
  <c r="A679" i="6"/>
  <c r="A680" i="6"/>
  <c r="A681" i="6"/>
  <c r="A682" i="6"/>
  <c r="A683" i="6"/>
  <c r="A684" i="6"/>
  <c r="A685" i="6"/>
  <c r="A686" i="6"/>
  <c r="A687" i="6"/>
  <c r="A688" i="6"/>
  <c r="A689" i="6"/>
  <c r="A690" i="6"/>
  <c r="A691" i="6"/>
  <c r="A692" i="6"/>
  <c r="A693" i="6"/>
  <c r="A694" i="6"/>
  <c r="A695" i="6"/>
  <c r="A696" i="6"/>
  <c r="A697" i="6"/>
  <c r="A698" i="6"/>
  <c r="A699" i="6"/>
  <c r="A700" i="6"/>
  <c r="A701" i="6"/>
  <c r="A702" i="6"/>
  <c r="A703" i="6"/>
  <c r="A704" i="6"/>
  <c r="A705" i="6"/>
  <c r="A706" i="6"/>
  <c r="A707" i="6"/>
  <c r="A708" i="6"/>
  <c r="A709" i="6"/>
  <c r="A710" i="6"/>
  <c r="A711" i="6"/>
  <c r="A712" i="6"/>
  <c r="A713" i="6"/>
  <c r="A714" i="6"/>
  <c r="A715" i="6"/>
  <c r="A716" i="6"/>
  <c r="A717" i="6"/>
  <c r="A718" i="6"/>
  <c r="A719" i="6"/>
  <c r="A720" i="6"/>
  <c r="A721" i="6"/>
  <c r="A722" i="6"/>
  <c r="A723" i="6"/>
  <c r="A724" i="6"/>
  <c r="A725" i="6"/>
  <c r="A726" i="6"/>
  <c r="A727" i="6"/>
  <c r="A728" i="6"/>
  <c r="A729" i="6"/>
  <c r="A730" i="6"/>
  <c r="A731" i="6"/>
  <c r="A732" i="6"/>
  <c r="A733" i="6"/>
  <c r="A734" i="6"/>
  <c r="A735" i="6"/>
  <c r="A736" i="6"/>
  <c r="A737" i="6"/>
  <c r="A738" i="6"/>
  <c r="A739" i="6"/>
  <c r="A740" i="6"/>
  <c r="A741" i="6"/>
  <c r="A742" i="6"/>
  <c r="A743" i="6"/>
  <c r="A744" i="6"/>
  <c r="A745" i="6"/>
  <c r="A746" i="6"/>
  <c r="A747" i="6"/>
  <c r="A748" i="6"/>
  <c r="A749" i="6"/>
  <c r="A750" i="6"/>
  <c r="A751" i="6"/>
  <c r="A752" i="6"/>
  <c r="A753" i="6"/>
  <c r="A754" i="6"/>
  <c r="A755" i="6"/>
  <c r="A756" i="6"/>
  <c r="A757" i="6"/>
  <c r="A758" i="6"/>
  <c r="A759" i="6"/>
  <c r="A760" i="6"/>
  <c r="A761" i="6"/>
  <c r="A762" i="6"/>
  <c r="A763" i="6"/>
  <c r="A764" i="6"/>
  <c r="A765" i="6"/>
  <c r="A766" i="6"/>
  <c r="A767" i="6"/>
  <c r="A768" i="6"/>
  <c r="A769" i="6"/>
  <c r="A770" i="6"/>
  <c r="A771" i="6"/>
  <c r="A772" i="6"/>
  <c r="A773" i="6"/>
  <c r="A774" i="6"/>
  <c r="A775" i="6"/>
  <c r="A776" i="6"/>
  <c r="A777" i="6"/>
  <c r="A778" i="6"/>
  <c r="A779" i="6"/>
  <c r="A780" i="6"/>
  <c r="A781" i="6"/>
  <c r="A782" i="6"/>
  <c r="A783" i="6"/>
  <c r="A784" i="6"/>
  <c r="A785" i="6"/>
  <c r="A786" i="6"/>
  <c r="A787" i="6"/>
  <c r="A788" i="6"/>
  <c r="A789" i="6"/>
  <c r="A790" i="6"/>
  <c r="A791" i="6"/>
  <c r="A792" i="6"/>
  <c r="A793" i="6"/>
  <c r="A794" i="6"/>
  <c r="A795" i="6"/>
  <c r="A796" i="6"/>
  <c r="A797" i="6"/>
  <c r="A798" i="6"/>
  <c r="A799" i="6"/>
  <c r="A800" i="6"/>
  <c r="A801" i="6"/>
  <c r="A802" i="6"/>
  <c r="A803" i="6"/>
  <c r="A804" i="6"/>
  <c r="A805" i="6"/>
  <c r="A806" i="6"/>
  <c r="A807" i="6"/>
  <c r="A808" i="6"/>
  <c r="A809" i="6"/>
  <c r="A810" i="6"/>
  <c r="A811" i="6"/>
  <c r="A812" i="6"/>
  <c r="A813" i="6"/>
  <c r="A814" i="6"/>
  <c r="A815" i="6"/>
  <c r="A816" i="6"/>
  <c r="A817" i="6"/>
  <c r="A818" i="6"/>
  <c r="A819" i="6"/>
  <c r="A820" i="6"/>
  <c r="A821" i="6"/>
  <c r="A822" i="6"/>
  <c r="A823" i="6"/>
  <c r="A824" i="6"/>
  <c r="A825" i="6"/>
  <c r="A826" i="6"/>
  <c r="A827" i="6"/>
  <c r="A828" i="6"/>
  <c r="A829" i="6"/>
  <c r="A830" i="6"/>
  <c r="A831" i="6"/>
  <c r="A832" i="6"/>
  <c r="A833" i="6"/>
  <c r="A834" i="6"/>
  <c r="A835" i="6"/>
  <c r="A836" i="6"/>
  <c r="A837" i="6"/>
  <c r="A838" i="6"/>
  <c r="A839" i="6"/>
  <c r="A840" i="6"/>
  <c r="A841" i="6"/>
  <c r="A842" i="6"/>
  <c r="A843" i="6"/>
  <c r="A844" i="6"/>
  <c r="A845" i="6"/>
  <c r="A846" i="6"/>
  <c r="A847" i="6"/>
  <c r="A848" i="6"/>
  <c r="A849" i="6"/>
  <c r="A850" i="6"/>
  <c r="A851" i="6"/>
  <c r="A852" i="6"/>
  <c r="A853" i="6"/>
  <c r="A854" i="6"/>
  <c r="A855" i="6"/>
  <c r="A856" i="6"/>
  <c r="A857" i="6"/>
  <c r="A858" i="6"/>
  <c r="A859" i="6"/>
  <c r="A860" i="6"/>
  <c r="A861" i="6"/>
  <c r="A862" i="6"/>
  <c r="A863" i="6"/>
  <c r="A864" i="6"/>
  <c r="A865" i="6"/>
  <c r="A866" i="6"/>
  <c r="A867" i="6"/>
  <c r="A868" i="6"/>
  <c r="A869" i="6"/>
  <c r="A870" i="6"/>
  <c r="A871" i="6"/>
  <c r="A872" i="6"/>
  <c r="A873" i="6"/>
  <c r="A874" i="6"/>
  <c r="A875" i="6"/>
  <c r="A876" i="6"/>
  <c r="A877" i="6"/>
  <c r="A878" i="6"/>
  <c r="A879" i="6"/>
  <c r="A880" i="6"/>
  <c r="A881" i="6"/>
  <c r="A882" i="6"/>
  <c r="A883" i="6"/>
  <c r="A884" i="6"/>
  <c r="A885" i="6"/>
  <c r="A886" i="6"/>
  <c r="A887" i="6"/>
  <c r="A888" i="6"/>
  <c r="A889" i="6"/>
  <c r="A890" i="6"/>
  <c r="A891" i="6"/>
  <c r="A892" i="6"/>
  <c r="A893" i="6"/>
  <c r="A894" i="6"/>
  <c r="A895" i="6"/>
  <c r="A896" i="6"/>
  <c r="A897" i="6"/>
  <c r="A898" i="6"/>
  <c r="A899" i="6"/>
  <c r="A900" i="6"/>
  <c r="A901" i="6"/>
  <c r="A902" i="6"/>
  <c r="A903" i="6"/>
  <c r="A904" i="6"/>
  <c r="A905" i="6"/>
  <c r="A906" i="6"/>
  <c r="A907" i="6"/>
  <c r="A908" i="6"/>
  <c r="A909" i="6"/>
  <c r="A910" i="6"/>
  <c r="A911" i="6"/>
  <c r="A912" i="6"/>
  <c r="A913" i="6"/>
  <c r="A914" i="6"/>
  <c r="A915" i="6"/>
  <c r="A916" i="6"/>
  <c r="A917" i="6"/>
  <c r="A918" i="6"/>
  <c r="A919" i="6"/>
  <c r="AH10" i="9" l="1"/>
  <c r="AI43" i="9" l="1"/>
  <c r="AG10" i="9"/>
  <c r="AF10" i="9" l="1"/>
  <c r="AE10" i="9" l="1"/>
  <c r="AD10" i="9" l="1"/>
  <c r="AC10" i="9" l="1"/>
  <c r="AB10" i="9" l="1"/>
  <c r="AA10" i="9" l="1"/>
  <c r="Z10" i="9" l="1"/>
  <c r="Y10" i="9" l="1"/>
  <c r="X10" i="9" l="1"/>
  <c r="W10" i="9" l="1"/>
  <c r="V10" i="9" l="1"/>
  <c r="U10" i="9" l="1"/>
  <c r="R10" i="9"/>
  <c r="T10" i="9" l="1"/>
  <c r="Q10" i="9"/>
  <c r="AI11" i="9" l="1"/>
  <c r="P10" i="9"/>
  <c r="O10" i="9" l="1"/>
  <c r="AI44" i="9" l="1"/>
  <c r="N10" i="9"/>
  <c r="AT18" i="9" a="1"/>
  <c r="DH33" i="9" a="1"/>
  <c r="CB10" i="9" a="1"/>
  <c r="CC9" i="9" a="1"/>
  <c r="DE35" i="9" a="1"/>
  <c r="AT26" i="9" a="1"/>
  <c r="BX9" i="9" a="1"/>
  <c r="AS16" i="9" a="1"/>
  <c r="CS10" i="9" a="1"/>
  <c r="BU35" i="9" a="1"/>
  <c r="BM35" i="9" a="1"/>
  <c r="DA10" i="9" a="1"/>
  <c r="BB35" i="9" a="1"/>
  <c r="DC35" i="9" a="1"/>
  <c r="BP10" i="9" a="1"/>
  <c r="CA10" i="9" a="1"/>
  <c r="DB35" i="9" a="1"/>
  <c r="BQ35" i="9" a="1"/>
  <c r="BK9" i="9" a="1"/>
  <c r="BH35" i="9" a="1"/>
  <c r="BV35" i="9" a="1"/>
  <c r="BO9" i="9" a="1"/>
  <c r="BG35" i="9" a="1"/>
  <c r="AT10" i="9" a="1"/>
  <c r="DG34" i="9" a="1"/>
  <c r="CC10" i="9" a="1"/>
  <c r="AS17" i="9" a="1"/>
  <c r="CU35" i="9" a="1"/>
  <c r="BL35" i="9" a="1"/>
  <c r="CL9" i="9" a="1"/>
  <c r="BV10" i="9" a="1"/>
  <c r="CD10" i="9" a="1"/>
  <c r="DD10" i="9" a="1"/>
  <c r="CQ9" i="9" a="1"/>
  <c r="DH34" i="9" a="1"/>
  <c r="BT35" i="9" a="1"/>
  <c r="BE9" i="9" a="1"/>
  <c r="CJ10" i="9" a="1"/>
  <c r="DH20" i="9" a="1"/>
  <c r="DH21" i="9" a="1"/>
  <c r="CF35" i="9" a="1"/>
  <c r="BT9" i="9" a="1"/>
  <c r="AT29" i="9" a="1"/>
  <c r="CW9" i="9" a="1"/>
  <c r="BZ9" i="9" a="1"/>
  <c r="DF11" i="9" a="1"/>
  <c r="CE35" i="9" a="1"/>
  <c r="CS9" i="9" a="1"/>
  <c r="DG16" i="9" a="1"/>
  <c r="DG27" i="9" a="1"/>
  <c r="CO35" i="9" a="1"/>
  <c r="CL10" i="9" a="1"/>
  <c r="AZ9" i="9" a="1"/>
  <c r="CE10" i="9" a="1"/>
  <c r="AT35" i="9" a="1"/>
  <c r="DG33" i="9" a="1"/>
  <c r="AT17" i="9" a="1"/>
  <c r="AS25" i="9" a="1"/>
  <c r="DG29" i="9" a="1"/>
  <c r="CV10" i="9" a="1"/>
  <c r="DE9" i="9" a="1"/>
  <c r="BX35" i="9" a="1"/>
  <c r="CL35" i="9" a="1"/>
  <c r="BY35" i="9" a="1"/>
  <c r="CJ35" i="9" a="1"/>
  <c r="BR10" i="9" a="1"/>
  <c r="DG25" i="9" a="1"/>
  <c r="CW35" i="9" a="1"/>
  <c r="AT23" i="9" a="1"/>
  <c r="AT20" i="9" a="1"/>
  <c r="BI9" i="9" a="1"/>
  <c r="BZ10" i="9" a="1"/>
  <c r="AT25" i="9" a="1"/>
  <c r="AS21" i="9" a="1"/>
  <c r="CK9" i="9" a="1"/>
  <c r="CI10" i="9" a="1"/>
  <c r="DH32" i="9" a="1"/>
  <c r="BW9" i="9" a="1"/>
  <c r="AV35" i="9" a="1"/>
  <c r="BD9" i="9" a="1"/>
  <c r="BK35" i="9" a="1"/>
  <c r="BM9" i="9" a="1"/>
  <c r="AT27" i="9" a="1"/>
  <c r="CO10" i="9" a="1"/>
  <c r="CV35" i="9" a="1"/>
  <c r="DH10" i="9" a="1"/>
  <c r="AT19" i="9" a="1"/>
  <c r="CH35" i="9" a="1"/>
  <c r="CZ10" i="9" a="1"/>
  <c r="BU9" i="9" a="1"/>
  <c r="AS15" i="9" a="1"/>
  <c r="DH35" i="9" a="1"/>
  <c r="BV9" i="9" a="1"/>
  <c r="AT21" i="9" a="1"/>
  <c r="BI35" i="9" a="1"/>
  <c r="DG20" i="9" a="1"/>
  <c r="BQ9" i="9" a="1"/>
  <c r="BF9" i="9" a="1"/>
  <c r="AT12" i="9" a="1"/>
  <c r="BC35" i="9" a="1"/>
  <c r="CG10" i="9" a="1"/>
  <c r="CV9" i="9" a="1"/>
  <c r="DB9" i="9" a="1"/>
  <c r="DG30" i="9" a="1"/>
  <c r="BO10" i="9" a="1"/>
  <c r="CG35" i="9" a="1"/>
  <c r="CT10" i="9" a="1"/>
  <c r="CU10" i="9" a="1"/>
  <c r="DH27" i="9" a="1"/>
  <c r="CP9" i="9" a="1"/>
  <c r="BZ35" i="9" a="1"/>
  <c r="CK35" i="9" a="1"/>
  <c r="AS27" i="9" a="1"/>
  <c r="AS33" i="9" a="1"/>
  <c r="CI9" i="9" a="1"/>
  <c r="AS31" i="9" a="1"/>
  <c r="BE35" i="9" a="1"/>
  <c r="AT24" i="9" a="1"/>
  <c r="BN9" i="9" a="1"/>
  <c r="AS24" i="9" a="1"/>
  <c r="AT34" i="9" a="1"/>
  <c r="CY35" i="9" a="1"/>
  <c r="DD9" i="9" a="1"/>
  <c r="DH9" i="9" a="1"/>
  <c r="CB35" i="9" a="1"/>
  <c r="BQ10" i="9" a="1"/>
  <c r="AY9" i="9" a="1"/>
  <c r="DH29" i="9" a="1"/>
  <c r="DF35" i="9" a="1"/>
  <c r="CN9" i="9" a="1"/>
  <c r="AW9" i="9" a="1"/>
  <c r="DA9" i="9" a="1"/>
  <c r="CG9" i="9" a="1"/>
  <c r="BB9" i="9" a="1"/>
  <c r="DG21" i="9" a="1"/>
  <c r="DG24" i="9" a="1"/>
  <c r="BH9" i="9" a="1"/>
  <c r="AS19" i="9" a="1"/>
  <c r="CH9" i="9" a="1"/>
  <c r="AS13" i="9" a="1"/>
  <c r="BY9" i="9" a="1"/>
  <c r="DG26" i="9" a="1"/>
  <c r="AT31" i="9" a="1"/>
  <c r="DH16" i="9" a="1"/>
  <c r="CP10" i="9" a="1"/>
  <c r="DG31" i="9" a="1"/>
  <c r="DF9" i="9" a="1"/>
  <c r="DH28" i="9" a="1"/>
  <c r="BA9" i="9" a="1"/>
  <c r="DG9" i="9" a="1"/>
  <c r="CU9" i="9" a="1"/>
  <c r="DA35" i="9" a="1"/>
  <c r="DH24" i="9" a="1"/>
  <c r="AS23" i="9" a="1"/>
  <c r="CY9" i="9" a="1"/>
  <c r="AS14" i="9" a="1"/>
  <c r="DE10" i="9" a="1"/>
  <c r="DG14" i="9" a="1"/>
  <c r="AX35" i="9" a="1"/>
  <c r="AS34" i="9" a="1"/>
  <c r="CW10" i="9" a="1"/>
  <c r="CB9" i="9" a="1"/>
  <c r="CD9" i="9" a="1"/>
  <c r="BP35" i="9" a="1"/>
  <c r="DG19" i="9" a="1"/>
  <c r="AT9" i="9" a="1"/>
  <c r="BS10" i="9" a="1"/>
  <c r="CX9" i="9" a="1"/>
  <c r="AT32" i="9" a="1"/>
  <c r="AU35" i="9" a="1"/>
  <c r="CM35" i="9" a="1"/>
  <c r="BW10" i="9" a="1"/>
  <c r="DG15" i="9" a="1"/>
  <c r="AX9" i="9" a="1"/>
  <c r="DH17" i="9" a="1"/>
  <c r="BU10" i="9" a="1"/>
  <c r="CA35" i="9" a="1"/>
  <c r="CA9" i="9" a="1"/>
  <c r="CZ9" i="9" a="1"/>
  <c r="CO9" i="9" a="1"/>
  <c r="CQ35" i="9" a="1"/>
  <c r="BN35" i="9" a="1"/>
  <c r="AT11" i="9" a="1"/>
  <c r="BP9" i="9" a="1"/>
  <c r="DC10" i="9" a="1"/>
  <c r="CF10" i="9" a="1"/>
  <c r="DH18" i="9" a="1"/>
  <c r="CS35" i="9" a="1"/>
  <c r="BT10" i="9" a="1"/>
  <c r="CH10" i="9" a="1"/>
  <c r="AT16" i="9" a="1"/>
  <c r="CR9" i="9" a="1"/>
  <c r="DH30" i="9" a="1"/>
  <c r="AS30" i="9" a="1"/>
  <c r="AS28" i="9" a="1"/>
  <c r="CF9" i="9" a="1"/>
  <c r="CM10" i="9" a="1"/>
  <c r="CE9" i="9" a="1"/>
  <c r="BC9" i="9" a="1"/>
  <c r="DD35" i="9" a="1"/>
  <c r="BS35" i="9" a="1"/>
  <c r="BF35" i="9" a="1"/>
  <c r="DG23" i="9" a="1"/>
  <c r="CT9" i="9" a="1"/>
  <c r="AV9" i="9" a="1"/>
  <c r="BJ35" i="9" a="1"/>
  <c r="AZ35" i="9" a="1"/>
  <c r="AY35" i="9" a="1"/>
  <c r="BW35" i="9" a="1"/>
  <c r="DG11" i="9" a="1"/>
  <c r="AS18" i="9" a="1"/>
  <c r="AS32" i="9" a="1"/>
  <c r="AS26" i="9" a="1"/>
  <c r="CR35" i="9" a="1"/>
  <c r="DH22" i="9" a="1"/>
  <c r="DC9" i="9" a="1"/>
  <c r="AT22" i="9" a="1"/>
  <c r="DE11" i="9" a="1"/>
  <c r="DH12" i="9" a="1"/>
  <c r="CZ35" i="9" a="1"/>
  <c r="AT14" i="9" a="1"/>
  <c r="BS9" i="9" a="1"/>
  <c r="DG22" i="9" a="1"/>
  <c r="BO35" i="9" a="1"/>
  <c r="AT28" i="9" a="1"/>
  <c r="AS20" i="9" a="1"/>
  <c r="CI35" i="9" a="1"/>
  <c r="BY10" i="9" a="1"/>
  <c r="AW35" i="9" a="1"/>
  <c r="BD35" i="9" a="1"/>
  <c r="DG32" i="9" a="1"/>
  <c r="CJ9" i="9" a="1"/>
  <c r="DH14" i="9" a="1"/>
  <c r="CY10" i="9" a="1"/>
  <c r="AT33" i="9" a="1"/>
  <c r="DH26" i="9" a="1"/>
  <c r="AS9" i="9" a="1"/>
  <c r="BX10" i="9" a="1"/>
  <c r="DG28" i="9" a="1"/>
  <c r="CK10" i="9" a="1"/>
  <c r="DH15" i="9" a="1"/>
  <c r="AS22" i="9" a="1"/>
  <c r="AT13" i="9" a="1"/>
  <c r="AU9" i="9" a="1"/>
  <c r="CX35" i="9" a="1"/>
  <c r="DG17" i="9" a="1"/>
  <c r="AS29" i="9" a="1"/>
  <c r="DG35" i="9" a="1"/>
  <c r="DH19" i="9" a="1"/>
  <c r="DH23" i="9" a="1"/>
  <c r="CP35" i="9" a="1"/>
  <c r="DG10" i="9" a="1"/>
  <c r="DB10" i="9" a="1"/>
  <c r="CC35" i="9" a="1"/>
  <c r="DF10" i="9" a="1"/>
  <c r="DG18" i="9" a="1"/>
  <c r="AT15" i="9" a="1"/>
  <c r="CM9" i="9" a="1"/>
  <c r="CT35" i="9" a="1"/>
  <c r="DH25" i="9" a="1"/>
  <c r="AS12" i="9" a="1"/>
  <c r="BR9" i="9" a="1"/>
  <c r="BG9" i="9" a="1"/>
  <c r="CR10" i="9" a="1"/>
  <c r="BA35" i="9" a="1"/>
  <c r="DG12" i="9" a="1"/>
  <c r="BR35" i="9" a="1"/>
  <c r="DH13" i="9" a="1"/>
  <c r="CQ10" i="9" a="1"/>
  <c r="DH31" i="9" a="1"/>
  <c r="CN10" i="9" a="1"/>
  <c r="AS35" i="9" a="1"/>
  <c r="BL9" i="9" a="1"/>
  <c r="AT30" i="9" a="1"/>
  <c r="DG13" i="9" a="1"/>
  <c r="AS11" i="9" a="1"/>
  <c r="BJ9" i="9" a="1"/>
  <c r="CD35" i="9" a="1"/>
  <c r="CN35" i="9" a="1"/>
  <c r="CX10" i="9" a="1"/>
  <c r="AS10" i="9" a="1"/>
  <c r="DH11" i="9" a="1"/>
  <c r="DB9" i="9" l="1"/>
  <c r="AT25" i="9"/>
  <c r="DG17" i="9"/>
  <c r="CK10" i="9"/>
  <c r="CX10" i="9"/>
  <c r="CG9" i="9"/>
  <c r="DG34" i="9"/>
  <c r="AS12" i="9"/>
  <c r="DG27" i="9"/>
  <c r="AS23" i="9"/>
  <c r="CL10" i="9"/>
  <c r="DG10" i="9"/>
  <c r="BQ9" i="9"/>
  <c r="CP35" i="9"/>
  <c r="CI9" i="9"/>
  <c r="CD10" i="9"/>
  <c r="DF10" i="9"/>
  <c r="DG12" i="9"/>
  <c r="AS11" i="9"/>
  <c r="BQ35" i="9"/>
  <c r="DH11" i="9"/>
  <c r="DG13" i="9"/>
  <c r="CP10" i="9"/>
  <c r="CS10" i="9"/>
  <c r="AS32" i="9"/>
  <c r="BT35" i="9"/>
  <c r="BH9" i="9"/>
  <c r="CM10" i="9"/>
  <c r="DC10" i="9"/>
  <c r="AT32" i="9"/>
  <c r="BT9" i="9"/>
  <c r="AS17" i="9"/>
  <c r="CD35" i="9"/>
  <c r="AU9" i="9"/>
  <c r="BR35" i="9"/>
  <c r="AY9" i="9"/>
  <c r="DD9" i="9"/>
  <c r="CT9" i="9"/>
  <c r="AW9" i="9"/>
  <c r="BX9" i="9"/>
  <c r="BL9" i="9"/>
  <c r="AS13" i="9"/>
  <c r="BG9" i="9"/>
  <c r="CJ10" i="9"/>
  <c r="DC9" i="9"/>
  <c r="AS30" i="9"/>
  <c r="BV35" i="9"/>
  <c r="DH35" i="9"/>
  <c r="CV35" i="9"/>
  <c r="CC35" i="9"/>
  <c r="AS28" i="9"/>
  <c r="DH21" i="9"/>
  <c r="DG9" i="9"/>
  <c r="CJ9" i="9"/>
  <c r="CF35" i="9"/>
  <c r="AT28" i="9"/>
  <c r="AS33" i="9"/>
  <c r="DB10" i="9"/>
  <c r="CK35" i="9"/>
  <c r="BQ10" i="9"/>
  <c r="DE11" i="9"/>
  <c r="AZ35" i="9"/>
  <c r="AV9" i="9"/>
  <c r="AT23" i="9"/>
  <c r="CZ35" i="9"/>
  <c r="BZ35" i="9"/>
  <c r="AW35" i="9"/>
  <c r="AT18" i="9"/>
  <c r="AT13" i="9"/>
  <c r="DH33" i="9"/>
  <c r="CQ9" i="9"/>
  <c r="AZ9" i="9"/>
  <c r="CG35" i="9"/>
  <c r="BO9" i="9"/>
  <c r="DG22" i="9"/>
  <c r="BS9" i="9"/>
  <c r="BY10" i="9"/>
  <c r="CA10" i="9"/>
  <c r="DH18" i="9"/>
  <c r="CR9" i="9"/>
  <c r="CH9" i="9"/>
  <c r="DH29" i="9"/>
  <c r="CJ35" i="9"/>
  <c r="CE9" i="9"/>
  <c r="AT14" i="9"/>
  <c r="BD35" i="9"/>
  <c r="AS9" i="9"/>
  <c r="AS18" i="9"/>
  <c r="DH34" i="9"/>
  <c r="BB35" i="9"/>
  <c r="AT27" i="9"/>
  <c r="BA9" i="9"/>
  <c r="CV9" i="9"/>
  <c r="DE9" i="9"/>
  <c r="AT9" i="9"/>
  <c r="DG15" i="9"/>
  <c r="DG26" i="9"/>
  <c r="CL9" i="9"/>
  <c r="BR10" i="9"/>
  <c r="AT17" i="9"/>
  <c r="CM9" i="9"/>
  <c r="DG20" i="9"/>
  <c r="BR9" i="9"/>
  <c r="DF11" i="9"/>
  <c r="CY10" i="9"/>
  <c r="DF9" i="9"/>
  <c r="DH26" i="9"/>
  <c r="CN10" i="9"/>
  <c r="AT31" i="9"/>
  <c r="BO35" i="9"/>
  <c r="CI35" i="9"/>
  <c r="CO10" i="9"/>
  <c r="CV10" i="9"/>
  <c r="AS25" i="9"/>
  <c r="DD35" i="9"/>
  <c r="CC10" i="9"/>
  <c r="CX35" i="9"/>
  <c r="AT35" i="9"/>
  <c r="BF9" i="9"/>
  <c r="DD10" i="9"/>
  <c r="DH23" i="9"/>
  <c r="CT10" i="9"/>
  <c r="DH22" i="9"/>
  <c r="BW35" i="9"/>
  <c r="BE35" i="9"/>
  <c r="CM35" i="9"/>
  <c r="BM35" i="9"/>
  <c r="CO9" i="9"/>
  <c r="DG21" i="9"/>
  <c r="DH13" i="9"/>
  <c r="CY35" i="9"/>
  <c r="DB35" i="9"/>
  <c r="AS26" i="9"/>
  <c r="DH30" i="9"/>
  <c r="BY9" i="9"/>
  <c r="AS20" i="9"/>
  <c r="CR10" i="9"/>
  <c r="BF35" i="9"/>
  <c r="DH9" i="9"/>
  <c r="CN35" i="9"/>
  <c r="BW9" i="9"/>
  <c r="BJ35" i="9"/>
  <c r="CZ9" i="9"/>
  <c r="AS19" i="9"/>
  <c r="BU9" i="9"/>
  <c r="CN9" i="9"/>
  <c r="CS35" i="9"/>
  <c r="DH10" i="9"/>
  <c r="CW35" i="9"/>
  <c r="CD9" i="9"/>
  <c r="AT21" i="9"/>
  <c r="CF10" i="9"/>
  <c r="CU9" i="9"/>
  <c r="BJ9" i="9"/>
  <c r="AV35" i="9"/>
  <c r="AS15" i="9"/>
  <c r="DG35" i="9"/>
  <c r="DG28" i="9"/>
  <c r="AU35" i="9"/>
  <c r="CB9" i="9"/>
  <c r="BL35" i="9"/>
  <c r="BI35" i="9"/>
  <c r="DA35" i="9"/>
  <c r="DH15" i="9"/>
  <c r="BS35" i="9"/>
  <c r="BZ10" i="9"/>
  <c r="CL35" i="9"/>
  <c r="AT34" i="9"/>
  <c r="BM9" i="9"/>
  <c r="CW9" i="9"/>
  <c r="AT12" i="9"/>
  <c r="DA10" i="9"/>
  <c r="DH20" i="9"/>
  <c r="AS31" i="9"/>
  <c r="AS14" i="9"/>
  <c r="AS27" i="9"/>
  <c r="AS10" i="9"/>
  <c r="CR35" i="9"/>
  <c r="DG25" i="9"/>
  <c r="AT20" i="9"/>
  <c r="AT11" i="9"/>
  <c r="BK9" i="9"/>
  <c r="DG30" i="9"/>
  <c r="DG33" i="9"/>
  <c r="AY35" i="9"/>
  <c r="BZ9" i="9"/>
  <c r="CX9" i="9"/>
  <c r="AT22" i="9"/>
  <c r="AT33" i="9"/>
  <c r="DH31" i="9"/>
  <c r="CA9" i="9"/>
  <c r="AT15" i="9"/>
  <c r="AX9" i="9"/>
  <c r="CT35" i="9"/>
  <c r="BW10" i="9"/>
  <c r="DH32" i="9"/>
  <c r="CB35" i="9"/>
  <c r="CQ35" i="9"/>
  <c r="BN35" i="9"/>
  <c r="AT24" i="9"/>
  <c r="BC9" i="9"/>
  <c r="AS29" i="9"/>
  <c r="DA9" i="9"/>
  <c r="DG19" i="9"/>
  <c r="CZ10" i="9"/>
  <c r="BB9" i="9"/>
  <c r="AT29" i="9"/>
  <c r="DH28" i="9"/>
  <c r="DC35" i="9"/>
  <c r="DH27" i="9"/>
  <c r="BV10" i="9"/>
  <c r="DG16" i="9"/>
  <c r="BG35" i="9"/>
  <c r="AS21" i="9"/>
  <c r="BX10" i="9"/>
  <c r="CU35" i="9"/>
  <c r="DG32" i="9"/>
  <c r="DG11" i="9"/>
  <c r="BP9" i="9"/>
  <c r="BE9" i="9"/>
  <c r="CC9" i="9"/>
  <c r="BC35" i="9"/>
  <c r="BU35" i="9"/>
  <c r="CB10" i="9"/>
  <c r="BV9" i="9"/>
  <c r="CA35" i="9"/>
  <c r="AS22" i="9"/>
  <c r="BY35" i="9"/>
  <c r="CK9" i="9"/>
  <c r="AT30" i="9"/>
  <c r="DG14" i="9"/>
  <c r="AS24" i="9"/>
  <c r="AT10" i="9"/>
  <c r="BH35" i="9"/>
  <c r="DE35" i="9"/>
  <c r="DG24" i="9"/>
  <c r="BT10" i="9"/>
  <c r="CO35" i="9"/>
  <c r="BX35" i="9"/>
  <c r="AS16" i="9"/>
  <c r="AT26" i="9"/>
  <c r="AT19" i="9"/>
  <c r="DE10" i="9"/>
  <c r="DG18" i="9"/>
  <c r="DH16" i="9"/>
  <c r="BA35" i="9"/>
  <c r="DH12" i="9"/>
  <c r="AS35" i="9"/>
  <c r="DF35" i="9"/>
  <c r="CP9" i="9"/>
  <c r="AT16" i="9"/>
  <c r="CH35" i="9"/>
  <c r="CW10" i="9"/>
  <c r="CE10" i="9"/>
  <c r="AX35" i="9"/>
  <c r="DG31" i="9"/>
  <c r="DG23" i="9"/>
  <c r="CU10" i="9"/>
  <c r="DH14" i="9"/>
  <c r="BS10" i="9"/>
  <c r="CY9" i="9"/>
  <c r="BU10" i="9"/>
  <c r="DG29" i="9"/>
  <c r="CS9" i="9"/>
  <c r="BP35" i="9"/>
  <c r="BN9" i="9"/>
  <c r="BI9" i="9"/>
  <c r="CG10" i="9"/>
  <c r="DH24" i="9"/>
  <c r="CE35" i="9"/>
  <c r="AS34" i="9"/>
  <c r="CQ10" i="9"/>
  <c r="DH25" i="9"/>
  <c r="DH17" i="9"/>
  <c r="BD9" i="9"/>
  <c r="CI10" i="9"/>
  <c r="CH10" i="9"/>
  <c r="BK35" i="9"/>
  <c r="DH19" i="9"/>
  <c r="CF9" i="9"/>
  <c r="BP10" i="9"/>
  <c r="BO10" i="9"/>
  <c r="M10" i="9"/>
  <c r="BM10" i="9" a="1"/>
  <c r="BN10" i="9" a="1"/>
  <c r="BN10" i="9" l="1"/>
  <c r="BM10" i="9"/>
  <c r="L10" i="9"/>
  <c r="BL10" i="9" a="1"/>
  <c r="BK10" i="9" a="1"/>
  <c r="BL10" i="9" l="1"/>
  <c r="BK10" i="9"/>
  <c r="K10" i="9"/>
  <c r="BJ10" i="9" a="1"/>
  <c r="BI10" i="9" a="1"/>
  <c r="BJ10" i="9" l="1"/>
  <c r="BI10" i="9"/>
  <c r="J10" i="9"/>
  <c r="BH10" i="9" a="1"/>
  <c r="BG10" i="9" a="1"/>
  <c r="BH10" i="9" l="1"/>
  <c r="BG10" i="9"/>
  <c r="I10" i="9"/>
  <c r="BE10" i="9" a="1"/>
  <c r="BF10" i="9" a="1"/>
  <c r="BF10" i="9" l="1"/>
  <c r="BE10" i="9"/>
  <c r="H10" i="9"/>
  <c r="BC10" i="9" a="1"/>
  <c r="BD10" i="9" a="1"/>
  <c r="BD10" i="9" l="1"/>
  <c r="BC10" i="9"/>
  <c r="G10" i="9"/>
  <c r="BA10" i="9" a="1"/>
  <c r="BB10" i="9" a="1"/>
  <c r="BB10" i="9" l="1"/>
  <c r="BA10" i="9"/>
  <c r="F10" i="9"/>
  <c r="AZ10" i="9" a="1"/>
  <c r="AY10" i="9" a="1"/>
  <c r="AZ10" i="9" l="1"/>
  <c r="AY10" i="9"/>
  <c r="E10" i="9"/>
  <c r="AX10" i="9" a="1"/>
  <c r="AW10" i="9" a="1"/>
  <c r="AX10" i="9" l="1"/>
  <c r="AW10" i="9"/>
  <c r="D10" i="9"/>
  <c r="AV10" i="9" a="1"/>
  <c r="AU10" i="9" a="1"/>
  <c r="AV10" i="9" l="1"/>
  <c r="AU10" i="9"/>
  <c r="AH11" i="9"/>
  <c r="S11" i="9" a="1"/>
  <c r="S11" i="9" s="1"/>
  <c r="BY11" i="9" a="1"/>
  <c r="DC11" i="9" a="1"/>
  <c r="BZ11" i="9" a="1"/>
  <c r="DD11" i="9" a="1"/>
  <c r="DD11" i="9" l="1"/>
  <c r="DC11" i="9"/>
  <c r="BY11" i="9"/>
  <c r="BZ11" i="9"/>
  <c r="R11" i="9"/>
  <c r="AG11" i="9"/>
  <c r="BW11" i="9" a="1"/>
  <c r="DB11" i="9" a="1"/>
  <c r="BX11" i="9" a="1"/>
  <c r="DA11" i="9" a="1"/>
  <c r="DA11" i="9" l="1"/>
  <c r="DB11" i="9"/>
  <c r="BX11" i="9"/>
  <c r="BW11" i="9"/>
  <c r="AF11" i="9"/>
  <c r="Q11" i="9"/>
  <c r="BV11" i="9" a="1"/>
  <c r="CZ11" i="9" a="1"/>
  <c r="BU11" i="9" a="1"/>
  <c r="CY11" i="9" a="1"/>
  <c r="CY11" i="9" l="1"/>
  <c r="CZ11" i="9"/>
  <c r="BV11" i="9"/>
  <c r="BU11" i="9"/>
  <c r="P11" i="9"/>
  <c r="AE11" i="9"/>
  <c r="CW11" i="9" a="1"/>
  <c r="BS11" i="9" a="1"/>
  <c r="CX11" i="9" a="1"/>
  <c r="BT11" i="9" a="1"/>
  <c r="CW11" i="9" l="1"/>
  <c r="CX11" i="9"/>
  <c r="BS11" i="9"/>
  <c r="BT11" i="9"/>
  <c r="AD11" i="9"/>
  <c r="O11" i="9"/>
  <c r="CU11" i="9" a="1"/>
  <c r="BR11" i="9" a="1"/>
  <c r="BQ11" i="9" a="1"/>
  <c r="CV11" i="9" a="1"/>
  <c r="CV11" i="9" l="1"/>
  <c r="CU11" i="9"/>
  <c r="BR11" i="9"/>
  <c r="BQ11" i="9"/>
  <c r="N11" i="9"/>
  <c r="AC11" i="9"/>
  <c r="CT11" i="9" a="1"/>
  <c r="BP11" i="9" a="1"/>
  <c r="BO11" i="9" a="1"/>
  <c r="CS11" i="9" a="1"/>
  <c r="CS11" i="9" l="1"/>
  <c r="CT11" i="9"/>
  <c r="BO11" i="9"/>
  <c r="BP11" i="9"/>
  <c r="AB11" i="9"/>
  <c r="M11" i="9"/>
  <c r="BN11" i="9" a="1"/>
  <c r="CQ11" i="9" a="1"/>
  <c r="BM11" i="9" a="1"/>
  <c r="CR11" i="9" a="1"/>
  <c r="CR11" i="9" l="1"/>
  <c r="CQ11" i="9"/>
  <c r="BM11" i="9"/>
  <c r="BN11" i="9"/>
  <c r="AA11" i="9"/>
  <c r="L11" i="9"/>
  <c r="BL11" i="9" a="1"/>
  <c r="CP11" i="9" a="1"/>
  <c r="CO11" i="9" a="1"/>
  <c r="BK11" i="9" a="1"/>
  <c r="CP11" i="9" l="1"/>
  <c r="CO11" i="9"/>
  <c r="BL11" i="9"/>
  <c r="BK11" i="9"/>
  <c r="Z11" i="9"/>
  <c r="K11" i="9"/>
  <c r="CN11" i="9" a="1"/>
  <c r="CM11" i="9" a="1"/>
  <c r="BI11" i="9" a="1"/>
  <c r="BJ11" i="9" a="1"/>
  <c r="CN11" i="9" l="1"/>
  <c r="CM11" i="9"/>
  <c r="BJ11" i="9"/>
  <c r="BI11" i="9"/>
  <c r="Y11" i="9"/>
  <c r="J11" i="9"/>
  <c r="BH11" i="9" a="1"/>
  <c r="CL11" i="9" a="1"/>
  <c r="CK11" i="9" a="1"/>
  <c r="BG11" i="9" a="1"/>
  <c r="CL11" i="9" l="1"/>
  <c r="CK11" i="9"/>
  <c r="BH11" i="9"/>
  <c r="BG11" i="9"/>
  <c r="X11" i="9"/>
  <c r="I11" i="9"/>
  <c r="BE11" i="9" a="1"/>
  <c r="CJ11" i="9" a="1"/>
  <c r="CI11" i="9" a="1"/>
  <c r="BF11" i="9" a="1"/>
  <c r="BF11" i="9" l="1"/>
  <c r="BE11" i="9"/>
  <c r="CI11" i="9"/>
  <c r="CJ11" i="9"/>
  <c r="H11" i="9"/>
  <c r="W11" i="9"/>
  <c r="CH11" i="9" a="1"/>
  <c r="BD11" i="9" a="1"/>
  <c r="BC11" i="9" a="1"/>
  <c r="CG11" i="9" a="1"/>
  <c r="CH11" i="9" l="1"/>
  <c r="CG11" i="9"/>
  <c r="BD11" i="9"/>
  <c r="BC11" i="9"/>
  <c r="V11" i="9"/>
  <c r="G11" i="9"/>
  <c r="CF11" i="9" a="1"/>
  <c r="BB11" i="9" a="1"/>
  <c r="BA11" i="9" a="1"/>
  <c r="CE11" i="9" a="1"/>
  <c r="BB11" i="9" l="1"/>
  <c r="BA11" i="9"/>
  <c r="CE11" i="9"/>
  <c r="CF11" i="9"/>
  <c r="F11" i="9"/>
  <c r="U11" i="9"/>
  <c r="AZ11" i="9" a="1"/>
  <c r="AY11" i="9" a="1"/>
  <c r="CD11" i="9" a="1"/>
  <c r="CC11" i="9" a="1"/>
  <c r="AY11" i="9" l="1"/>
  <c r="AZ11" i="9"/>
  <c r="CC11" i="9"/>
  <c r="CD11" i="9"/>
  <c r="E11" i="9"/>
  <c r="T11" i="9"/>
  <c r="CB11" i="9" a="1"/>
  <c r="AW11" i="9" a="1"/>
  <c r="CA11" i="9" a="1"/>
  <c r="AX11" i="9" a="1"/>
  <c r="CB11" i="9" l="1"/>
  <c r="CA11" i="9"/>
  <c r="AW11" i="9"/>
  <c r="AX11" i="9"/>
  <c r="AI12" i="9"/>
  <c r="D11" i="9"/>
  <c r="AV11" i="9" a="1"/>
  <c r="DE12" i="9" a="1"/>
  <c r="AU11" i="9" a="1"/>
  <c r="DF12" i="9" a="1"/>
  <c r="DE12" i="9" l="1"/>
  <c r="DF12" i="9"/>
  <c r="AV11" i="9"/>
  <c r="AU11" i="9"/>
  <c r="S12" i="9" a="1"/>
  <c r="S12" i="9" s="1"/>
  <c r="AH12" i="9"/>
  <c r="DD12" i="9" a="1"/>
  <c r="BY12" i="9" a="1"/>
  <c r="DC12" i="9" a="1"/>
  <c r="BZ12" i="9" a="1"/>
  <c r="DC12" i="9" l="1"/>
  <c r="DD12" i="9"/>
  <c r="AI45" i="9"/>
  <c r="R12" i="9"/>
  <c r="BZ12" i="9"/>
  <c r="BY12" i="9"/>
  <c r="AG12" i="9"/>
  <c r="BW12" i="9" a="1"/>
  <c r="BX12" i="9" a="1"/>
  <c r="DB12" i="9" a="1"/>
  <c r="DA12" i="9" a="1"/>
  <c r="DB12" i="9" l="1"/>
  <c r="DA12" i="9"/>
  <c r="BX12" i="9"/>
  <c r="BW12" i="9"/>
  <c r="Q12" i="9"/>
  <c r="AF12" i="9"/>
  <c r="BU12" i="9" a="1"/>
  <c r="CY12" i="9" a="1"/>
  <c r="CZ12" i="9" a="1"/>
  <c r="BV12" i="9" a="1"/>
  <c r="CY12" i="9" l="1"/>
  <c r="CZ12" i="9"/>
  <c r="BV12" i="9"/>
  <c r="BU12" i="9"/>
  <c r="AE12" i="9"/>
  <c r="P12" i="9"/>
  <c r="BT12" i="9" a="1"/>
  <c r="BS12" i="9" a="1"/>
  <c r="CW12" i="9" a="1"/>
  <c r="CX12" i="9" a="1"/>
  <c r="CW12" i="9" l="1"/>
  <c r="CX12" i="9"/>
  <c r="BT12" i="9"/>
  <c r="BS12" i="9"/>
  <c r="O12" i="9"/>
  <c r="AD12" i="9"/>
  <c r="CU12" i="9" a="1"/>
  <c r="BQ12" i="9" a="1"/>
  <c r="BR12" i="9" a="1"/>
  <c r="CV12" i="9" a="1"/>
  <c r="CU12" i="9" l="1"/>
  <c r="CV12" i="9"/>
  <c r="BQ12" i="9"/>
  <c r="BR12" i="9"/>
  <c r="AC12" i="9"/>
  <c r="N12" i="9"/>
  <c r="BP12" i="9" a="1"/>
  <c r="BO12" i="9" a="1"/>
  <c r="CT12" i="9" a="1"/>
  <c r="CS12" i="9" a="1"/>
  <c r="CT12" i="9" l="1"/>
  <c r="CS12" i="9"/>
  <c r="BP12" i="9"/>
  <c r="BO12" i="9"/>
  <c r="M12" i="9"/>
  <c r="AB12" i="9"/>
  <c r="CR12" i="9" a="1"/>
  <c r="CQ12" i="9" a="1"/>
  <c r="BN12" i="9" a="1"/>
  <c r="BM12" i="9" a="1"/>
  <c r="CR12" i="9" l="1"/>
  <c r="CQ12" i="9"/>
  <c r="BM12" i="9"/>
  <c r="BN12" i="9"/>
  <c r="AA12" i="9"/>
  <c r="L12" i="9"/>
  <c r="CP12" i="9" a="1"/>
  <c r="BK12" i="9" a="1"/>
  <c r="CO12" i="9" a="1"/>
  <c r="BL12" i="9" a="1"/>
  <c r="BK12" i="9" l="1"/>
  <c r="BL12" i="9"/>
  <c r="CP12" i="9"/>
  <c r="CO12" i="9"/>
  <c r="K12" i="9"/>
  <c r="Z12" i="9"/>
  <c r="CM12" i="9" a="1"/>
  <c r="BI12" i="9" a="1"/>
  <c r="CN12" i="9" a="1"/>
  <c r="BJ12" i="9" a="1"/>
  <c r="CN12" i="9" l="1"/>
  <c r="CM12" i="9"/>
  <c r="BJ12" i="9"/>
  <c r="BI12" i="9"/>
  <c r="Y12" i="9"/>
  <c r="J12" i="9"/>
  <c r="CL12" i="9" a="1"/>
  <c r="CK12" i="9" a="1"/>
  <c r="BG12" i="9" a="1"/>
  <c r="BH12" i="9" a="1"/>
  <c r="BG12" i="9" l="1"/>
  <c r="BH12" i="9"/>
  <c r="CL12" i="9"/>
  <c r="CK12" i="9"/>
  <c r="I12" i="9"/>
  <c r="X12" i="9"/>
  <c r="BE12" i="9" a="1"/>
  <c r="BF12" i="9" a="1"/>
  <c r="CJ12" i="9" a="1"/>
  <c r="CI12" i="9" a="1"/>
  <c r="CI12" i="9" l="1"/>
  <c r="CJ12" i="9"/>
  <c r="BF12" i="9"/>
  <c r="BE12" i="9"/>
  <c r="W12" i="9"/>
  <c r="H12" i="9"/>
  <c r="CH12" i="9" a="1"/>
  <c r="BD12" i="9" a="1"/>
  <c r="CG12" i="9" a="1"/>
  <c r="BC12" i="9" a="1"/>
  <c r="BD12" i="9" l="1"/>
  <c r="BC12" i="9"/>
  <c r="CG12" i="9"/>
  <c r="CH12" i="9"/>
  <c r="G12" i="9"/>
  <c r="V12" i="9"/>
  <c r="CE12" i="9" a="1"/>
  <c r="BB12" i="9" a="1"/>
  <c r="BA12" i="9" a="1"/>
  <c r="CF12" i="9" a="1"/>
  <c r="CE12" i="9" l="1"/>
  <c r="CF12" i="9"/>
  <c r="BA12" i="9"/>
  <c r="BB12" i="9"/>
  <c r="U12" i="9"/>
  <c r="F12" i="9"/>
  <c r="CD12" i="9" a="1"/>
  <c r="AY12" i="9" a="1"/>
  <c r="CC12" i="9" a="1"/>
  <c r="AZ12" i="9" a="1"/>
  <c r="AZ12" i="9" l="1"/>
  <c r="AY12" i="9"/>
  <c r="CC12" i="9"/>
  <c r="CD12" i="9"/>
  <c r="E12" i="9"/>
  <c r="T12" i="9"/>
  <c r="CB12" i="9" a="1"/>
  <c r="CA12" i="9" a="1"/>
  <c r="AX12" i="9" a="1"/>
  <c r="AW12" i="9" a="1"/>
  <c r="CA12" i="9" l="1"/>
  <c r="CB12" i="9"/>
  <c r="AW12" i="9"/>
  <c r="AX12" i="9"/>
  <c r="AI13" i="9"/>
  <c r="D12" i="9"/>
  <c r="DF13" i="9" a="1"/>
  <c r="DE13" i="9" a="1"/>
  <c r="AU12" i="9" a="1"/>
  <c r="AV12" i="9" a="1"/>
  <c r="DE13" i="9" l="1"/>
  <c r="DF13" i="9"/>
  <c r="AU12" i="9"/>
  <c r="AV12" i="9"/>
  <c r="S13" i="9" a="1"/>
  <c r="S13" i="9" s="1"/>
  <c r="AH13" i="9"/>
  <c r="DD13" i="9" a="1"/>
  <c r="BY13" i="9" a="1"/>
  <c r="BZ13" i="9" a="1"/>
  <c r="DC13" i="9" a="1"/>
  <c r="DD13" i="9" l="1"/>
  <c r="DC13" i="9"/>
  <c r="AI46" i="9"/>
  <c r="BZ13" i="9"/>
  <c r="BY13" i="9"/>
  <c r="R13" i="9"/>
  <c r="AG13" i="9"/>
  <c r="BW13" i="9" a="1"/>
  <c r="DB13" i="9" a="1"/>
  <c r="DA13" i="9" a="1"/>
  <c r="BX13" i="9" a="1"/>
  <c r="DA13" i="9" l="1"/>
  <c r="DB13" i="9"/>
  <c r="BX13" i="9"/>
  <c r="BW13" i="9"/>
  <c r="AF13" i="9"/>
  <c r="Q13" i="9"/>
  <c r="CY13" i="9" a="1"/>
  <c r="BU13" i="9" a="1"/>
  <c r="CZ13" i="9" a="1"/>
  <c r="BV13" i="9" a="1"/>
  <c r="CY13" i="9" l="1"/>
  <c r="CZ13" i="9"/>
  <c r="BV13" i="9"/>
  <c r="BU13" i="9"/>
  <c r="P13" i="9"/>
  <c r="AE13" i="9"/>
  <c r="CX13" i="9" a="1"/>
  <c r="CW13" i="9" a="1"/>
  <c r="BS13" i="9" a="1"/>
  <c r="BT13" i="9" a="1"/>
  <c r="CX13" i="9" l="1"/>
  <c r="CW13" i="9"/>
  <c r="BT13" i="9"/>
  <c r="BS13" i="9"/>
  <c r="AD13" i="9"/>
  <c r="O13" i="9"/>
  <c r="CU13" i="9" a="1"/>
  <c r="BQ13" i="9" a="1"/>
  <c r="BR13" i="9" a="1"/>
  <c r="CV13" i="9" a="1"/>
  <c r="CV13" i="9" l="1"/>
  <c r="CU13" i="9"/>
  <c r="BR13" i="9"/>
  <c r="BQ13" i="9"/>
  <c r="N13" i="9"/>
  <c r="AC13" i="9"/>
  <c r="CT13" i="9" a="1"/>
  <c r="BO13" i="9" a="1"/>
  <c r="BP13" i="9" a="1"/>
  <c r="CS13" i="9" a="1"/>
  <c r="CS13" i="9" l="1"/>
  <c r="CT13" i="9"/>
  <c r="BP13" i="9"/>
  <c r="BO13" i="9"/>
  <c r="AB13" i="9"/>
  <c r="M13" i="9"/>
  <c r="CR13" i="9" a="1"/>
  <c r="BM13" i="9" a="1"/>
  <c r="CQ13" i="9" a="1"/>
  <c r="BN13" i="9" a="1"/>
  <c r="BN13" i="9" l="1"/>
  <c r="BM13" i="9"/>
  <c r="CR13" i="9"/>
  <c r="CQ13" i="9"/>
  <c r="L13" i="9"/>
  <c r="AA13" i="9"/>
  <c r="BL13" i="9" a="1"/>
  <c r="CO13" i="9" a="1"/>
  <c r="CP13" i="9" a="1"/>
  <c r="BK13" i="9" a="1"/>
  <c r="CP13" i="9" l="1"/>
  <c r="CO13" i="9"/>
  <c r="BL13" i="9"/>
  <c r="BK13" i="9"/>
  <c r="Z13" i="9"/>
  <c r="K13" i="9"/>
  <c r="CN13" i="9" a="1"/>
  <c r="BI13" i="9" a="1"/>
  <c r="BJ13" i="9" a="1"/>
  <c r="CM13" i="9" a="1"/>
  <c r="BJ13" i="9" l="1"/>
  <c r="BI13" i="9"/>
  <c r="CN13" i="9"/>
  <c r="CM13" i="9"/>
  <c r="J13" i="9"/>
  <c r="Y13" i="9"/>
  <c r="BG13" i="9" a="1"/>
  <c r="CK13" i="9" a="1"/>
  <c r="CL13" i="9" a="1"/>
  <c r="BH13" i="9" a="1"/>
  <c r="CL13" i="9" l="1"/>
  <c r="CK13" i="9"/>
  <c r="BH13" i="9"/>
  <c r="BG13" i="9"/>
  <c r="X13" i="9"/>
  <c r="I13" i="9"/>
  <c r="CI13" i="9" a="1"/>
  <c r="BF13" i="9" a="1"/>
  <c r="CJ13" i="9" a="1"/>
  <c r="BE13" i="9" a="1"/>
  <c r="BF13" i="9" l="1"/>
  <c r="BE13" i="9"/>
  <c r="CJ13" i="9"/>
  <c r="CI13" i="9"/>
  <c r="H13" i="9"/>
  <c r="W13" i="9"/>
  <c r="BC13" i="9" a="1"/>
  <c r="CG13" i="9" a="1"/>
  <c r="CH13" i="9" a="1"/>
  <c r="BD13" i="9" a="1"/>
  <c r="CH13" i="9" l="1"/>
  <c r="CG13" i="9"/>
  <c r="BD13" i="9"/>
  <c r="BC13" i="9"/>
  <c r="V13" i="9"/>
  <c r="G13" i="9"/>
  <c r="CF13" i="9" a="1"/>
  <c r="CE13" i="9" a="1"/>
  <c r="BB13" i="9" a="1"/>
  <c r="BA13" i="9" a="1"/>
  <c r="BB13" i="9" l="1"/>
  <c r="BA13" i="9"/>
  <c r="CF13" i="9"/>
  <c r="CE13" i="9"/>
  <c r="F13" i="9"/>
  <c r="U13" i="9"/>
  <c r="CC13" i="9" a="1"/>
  <c r="CD13" i="9" a="1"/>
  <c r="AY13" i="9" a="1"/>
  <c r="AZ13" i="9" a="1"/>
  <c r="CD13" i="9" l="1"/>
  <c r="CC13" i="9"/>
  <c r="AZ13" i="9"/>
  <c r="AY13" i="9"/>
  <c r="T13" i="9"/>
  <c r="E13" i="9"/>
  <c r="AX13" i="9" a="1"/>
  <c r="AW13" i="9" a="1"/>
  <c r="CB13" i="9" a="1"/>
  <c r="CA13" i="9" a="1"/>
  <c r="AX13" i="9" l="1"/>
  <c r="AW13" i="9"/>
  <c r="CB13" i="9"/>
  <c r="CA13" i="9"/>
  <c r="D13" i="9"/>
  <c r="AI14" i="9"/>
  <c r="DF14" i="9" a="1"/>
  <c r="AU13" i="9" a="1"/>
  <c r="AV13" i="9" a="1"/>
  <c r="DE14" i="9" a="1"/>
  <c r="DE14" i="9" l="1"/>
  <c r="DF14" i="9"/>
  <c r="AV13" i="9"/>
  <c r="AU13" i="9"/>
  <c r="AH14" i="9"/>
  <c r="S14" i="9" a="1"/>
  <c r="S14" i="9" s="1"/>
  <c r="BZ14" i="9" a="1"/>
  <c r="BY14" i="9" a="1"/>
  <c r="DD14" i="9" a="1"/>
  <c r="DC14" i="9" a="1"/>
  <c r="DD14" i="9" l="1"/>
  <c r="DC14" i="9"/>
  <c r="AI47" i="9"/>
  <c r="BZ14" i="9"/>
  <c r="BY14" i="9"/>
  <c r="R14" i="9"/>
  <c r="AG14" i="9"/>
  <c r="DA14" i="9" a="1"/>
  <c r="BX14" i="9" a="1"/>
  <c r="DB14" i="9" a="1"/>
  <c r="BW14" i="9" a="1"/>
  <c r="DA14" i="9" l="1"/>
  <c r="DB14" i="9"/>
  <c r="BX14" i="9"/>
  <c r="BW14" i="9"/>
  <c r="AF14" i="9"/>
  <c r="Q14" i="9"/>
  <c r="CZ14" i="9" a="1"/>
  <c r="BV14" i="9" a="1"/>
  <c r="CY14" i="9" a="1"/>
  <c r="BU14" i="9" a="1"/>
  <c r="CY14" i="9" l="1"/>
  <c r="CZ14" i="9"/>
  <c r="BU14" i="9"/>
  <c r="BV14" i="9"/>
  <c r="P14" i="9"/>
  <c r="AE14" i="9"/>
  <c r="CX14" i="9" a="1"/>
  <c r="BS14" i="9" a="1"/>
  <c r="BT14" i="9" a="1"/>
  <c r="CW14" i="9" a="1"/>
  <c r="CW14" i="9" l="1"/>
  <c r="CX14" i="9"/>
  <c r="BT14" i="9"/>
  <c r="BS14" i="9"/>
  <c r="AD14" i="9"/>
  <c r="O14" i="9"/>
  <c r="BQ14" i="9" a="1"/>
  <c r="CV14" i="9" a="1"/>
  <c r="BR14" i="9" a="1"/>
  <c r="CU14" i="9" a="1"/>
  <c r="CU14" i="9" l="1"/>
  <c r="CV14" i="9"/>
  <c r="BR14" i="9"/>
  <c r="BQ14" i="9"/>
  <c r="N14" i="9"/>
  <c r="AC14" i="9"/>
  <c r="BP14" i="9" a="1"/>
  <c r="BO14" i="9" a="1"/>
  <c r="CT14" i="9" a="1"/>
  <c r="CS14" i="9" a="1"/>
  <c r="CT14" i="9" l="1"/>
  <c r="CS14" i="9"/>
  <c r="BP14" i="9"/>
  <c r="BO14" i="9"/>
  <c r="AB14" i="9"/>
  <c r="M14" i="9"/>
  <c r="CR14" i="9" a="1"/>
  <c r="CQ14" i="9" a="1"/>
  <c r="BN14" i="9" a="1"/>
  <c r="BM14" i="9" a="1"/>
  <c r="BM14" i="9" l="1"/>
  <c r="BN14" i="9"/>
  <c r="CR14" i="9"/>
  <c r="CQ14" i="9"/>
  <c r="L14" i="9"/>
  <c r="AA14" i="9"/>
  <c r="BL14" i="9" a="1"/>
  <c r="BK14" i="9" a="1"/>
  <c r="CO14" i="9" a="1"/>
  <c r="CP14" i="9" a="1"/>
  <c r="CP14" i="9" l="1"/>
  <c r="CO14" i="9"/>
  <c r="BL14" i="9"/>
  <c r="BK14" i="9"/>
  <c r="Z14" i="9"/>
  <c r="K14" i="9"/>
  <c r="CM14" i="9" a="1"/>
  <c r="CN14" i="9" a="1"/>
  <c r="BJ14" i="9" a="1"/>
  <c r="BI14" i="9" a="1"/>
  <c r="BJ14" i="9" l="1"/>
  <c r="BI14" i="9"/>
  <c r="CN14" i="9"/>
  <c r="CM14" i="9"/>
  <c r="J14" i="9"/>
  <c r="Y14" i="9"/>
  <c r="CL14" i="9" a="1"/>
  <c r="BG14" i="9" a="1"/>
  <c r="BH14" i="9" a="1"/>
  <c r="CK14" i="9" a="1"/>
  <c r="CK14" i="9" l="1"/>
  <c r="CL14" i="9"/>
  <c r="BH14" i="9"/>
  <c r="BG14" i="9"/>
  <c r="X14" i="9"/>
  <c r="I14" i="9"/>
  <c r="CJ14" i="9" a="1"/>
  <c r="BF14" i="9" a="1"/>
  <c r="BE14" i="9" a="1"/>
  <c r="CI14" i="9" a="1"/>
  <c r="BF14" i="9" l="1"/>
  <c r="BE14" i="9"/>
  <c r="CJ14" i="9"/>
  <c r="CI14" i="9"/>
  <c r="H14" i="9"/>
  <c r="W14" i="9"/>
  <c r="BD14" i="9" a="1"/>
  <c r="CH14" i="9" a="1"/>
  <c r="BC14" i="9" a="1"/>
  <c r="CG14" i="9" a="1"/>
  <c r="CH14" i="9" l="1"/>
  <c r="CG14" i="9"/>
  <c r="BD14" i="9"/>
  <c r="BC14" i="9"/>
  <c r="V14" i="9"/>
  <c r="G14" i="9"/>
  <c r="CE14" i="9" a="1"/>
  <c r="BB14" i="9" a="1"/>
  <c r="CF14" i="9" a="1"/>
  <c r="BA14" i="9" a="1"/>
  <c r="BB14" i="9" l="1"/>
  <c r="BA14" i="9"/>
  <c r="CF14" i="9"/>
  <c r="CE14" i="9"/>
  <c r="F14" i="9"/>
  <c r="U14" i="9"/>
  <c r="CD14" i="9" a="1"/>
  <c r="AZ14" i="9" a="1"/>
  <c r="AY14" i="9" a="1"/>
  <c r="CC14" i="9" a="1"/>
  <c r="CC14" i="9" l="1"/>
  <c r="CD14" i="9"/>
  <c r="AZ14" i="9"/>
  <c r="AY14" i="9"/>
  <c r="T14" i="9"/>
  <c r="E14" i="9"/>
  <c r="CA14" i="9" a="1"/>
  <c r="CB14" i="9" a="1"/>
  <c r="AW14" i="9" a="1"/>
  <c r="AX14" i="9" a="1"/>
  <c r="AX14" i="9" l="1"/>
  <c r="AW14" i="9"/>
  <c r="CB14" i="9"/>
  <c r="CA14" i="9"/>
  <c r="D14" i="9"/>
  <c r="AI15" i="9"/>
  <c r="AU14" i="9" a="1"/>
  <c r="DF15" i="9" a="1"/>
  <c r="DE15" i="9" a="1"/>
  <c r="AV14" i="9" a="1"/>
  <c r="DF15" i="9" l="1"/>
  <c r="DE15" i="9"/>
  <c r="AV14" i="9"/>
  <c r="AU14" i="9"/>
  <c r="AH15" i="9"/>
  <c r="S15" i="9" a="1"/>
  <c r="S15" i="9" s="1"/>
  <c r="BY15" i="9" a="1"/>
  <c r="BZ15" i="9" a="1"/>
  <c r="DD15" i="9" a="1"/>
  <c r="DC15" i="9" a="1"/>
  <c r="DC15" i="9" l="1"/>
  <c r="DD15" i="9"/>
  <c r="AI48" i="9"/>
  <c r="BZ15" i="9"/>
  <c r="BY15" i="9"/>
  <c r="R15" i="9"/>
  <c r="AG15" i="9"/>
  <c r="BX15" i="9" a="1"/>
  <c r="DA15" i="9" a="1"/>
  <c r="DB15" i="9" a="1"/>
  <c r="BW15" i="9" a="1"/>
  <c r="DB15" i="9" l="1"/>
  <c r="DA15" i="9"/>
  <c r="BX15" i="9"/>
  <c r="BW15" i="9"/>
  <c r="AF15" i="9"/>
  <c r="Q15" i="9"/>
  <c r="BV15" i="9" a="1"/>
  <c r="BU15" i="9" a="1"/>
  <c r="CY15" i="9" a="1"/>
  <c r="CZ15" i="9" a="1"/>
  <c r="CZ15" i="9" l="1"/>
  <c r="CY15" i="9"/>
  <c r="BV15" i="9"/>
  <c r="BU15" i="9"/>
  <c r="P15" i="9"/>
  <c r="AE15" i="9"/>
  <c r="BS15" i="9" a="1"/>
  <c r="CW15" i="9" a="1"/>
  <c r="CX15" i="9" a="1"/>
  <c r="BT15" i="9" a="1"/>
  <c r="CW15" i="9" l="1"/>
  <c r="CX15" i="9"/>
  <c r="BT15" i="9"/>
  <c r="BS15" i="9"/>
  <c r="AD15" i="9"/>
  <c r="O15" i="9"/>
  <c r="BQ15" i="9" a="1"/>
  <c r="CU15" i="9" a="1"/>
  <c r="BR15" i="9" a="1"/>
  <c r="CV15" i="9" a="1"/>
  <c r="CV15" i="9" l="1"/>
  <c r="CU15" i="9"/>
  <c r="BR15" i="9"/>
  <c r="BQ15" i="9"/>
  <c r="N15" i="9"/>
  <c r="AC15" i="9"/>
  <c r="CT15" i="9" a="1"/>
  <c r="BP15" i="9" a="1"/>
  <c r="CS15" i="9" a="1"/>
  <c r="BO15" i="9" a="1"/>
  <c r="CT15" i="9" l="1"/>
  <c r="CS15" i="9"/>
  <c r="BP15" i="9"/>
  <c r="BO15" i="9"/>
  <c r="AB15" i="9"/>
  <c r="M15" i="9"/>
  <c r="CQ15" i="9" a="1"/>
  <c r="CR15" i="9" a="1"/>
  <c r="BN15" i="9" a="1"/>
  <c r="BM15" i="9" a="1"/>
  <c r="BN15" i="9" l="1"/>
  <c r="BM15" i="9"/>
  <c r="CR15" i="9"/>
  <c r="CQ15" i="9"/>
  <c r="L15" i="9"/>
  <c r="AA15" i="9"/>
  <c r="CO15" i="9" a="1"/>
  <c r="CP15" i="9" a="1"/>
  <c r="BK15" i="9" a="1"/>
  <c r="BL15" i="9" a="1"/>
  <c r="CP15" i="9" l="1"/>
  <c r="CO15" i="9"/>
  <c r="BK15" i="9"/>
  <c r="BL15" i="9"/>
  <c r="Z15" i="9"/>
  <c r="K15" i="9"/>
  <c r="CM15" i="9" a="1"/>
  <c r="BJ15" i="9" a="1"/>
  <c r="CN15" i="9" a="1"/>
  <c r="BI15" i="9" a="1"/>
  <c r="BJ15" i="9" l="1"/>
  <c r="BI15" i="9"/>
  <c r="CM15" i="9"/>
  <c r="CN15" i="9"/>
  <c r="J15" i="9"/>
  <c r="Y15" i="9"/>
  <c r="BH15" i="9" a="1"/>
  <c r="CL15" i="9" a="1"/>
  <c r="BG15" i="9" a="1"/>
  <c r="CK15" i="9" a="1"/>
  <c r="CL15" i="9" l="1"/>
  <c r="CK15" i="9"/>
  <c r="BH15" i="9"/>
  <c r="BG15" i="9"/>
  <c r="X15" i="9"/>
  <c r="I15" i="9"/>
  <c r="CI15" i="9" a="1"/>
  <c r="CJ15" i="9" a="1"/>
  <c r="BE15" i="9" a="1"/>
  <c r="BF15" i="9" a="1"/>
  <c r="BF15" i="9" l="1"/>
  <c r="BE15" i="9"/>
  <c r="CJ15" i="9"/>
  <c r="CI15" i="9"/>
  <c r="H15" i="9"/>
  <c r="W15" i="9"/>
  <c r="BC15" i="9" a="1"/>
  <c r="CH15" i="9" a="1"/>
  <c r="BD15" i="9" a="1"/>
  <c r="CG15" i="9" a="1"/>
  <c r="CH15" i="9" l="1"/>
  <c r="CG15" i="9"/>
  <c r="BC15" i="9"/>
  <c r="BD15" i="9"/>
  <c r="V15" i="9"/>
  <c r="G15" i="9"/>
  <c r="CF15" i="9" a="1"/>
  <c r="CE15" i="9" a="1"/>
  <c r="BB15" i="9" a="1"/>
  <c r="BA15" i="9" a="1"/>
  <c r="BB15" i="9" l="1"/>
  <c r="BA15" i="9"/>
  <c r="CF15" i="9"/>
  <c r="CE15" i="9"/>
  <c r="F15" i="9"/>
  <c r="U15" i="9"/>
  <c r="CD15" i="9" a="1"/>
  <c r="CC15" i="9" a="1"/>
  <c r="AZ15" i="9" a="1"/>
  <c r="AY15" i="9" a="1"/>
  <c r="CD15" i="9" l="1"/>
  <c r="CC15" i="9"/>
  <c r="AZ15" i="9"/>
  <c r="AY15" i="9"/>
  <c r="T15" i="9"/>
  <c r="E15" i="9"/>
  <c r="AW15" i="9" a="1"/>
  <c r="CB15" i="9" a="1"/>
  <c r="AX15" i="9" a="1"/>
  <c r="CA15" i="9" a="1"/>
  <c r="AX15" i="9" l="1"/>
  <c r="AW15" i="9"/>
  <c r="CB15" i="9"/>
  <c r="CA15" i="9"/>
  <c r="D15" i="9"/>
  <c r="AI16" i="9"/>
  <c r="AV15" i="9" a="1"/>
  <c r="AU15" i="9" a="1"/>
  <c r="DE16" i="9" a="1"/>
  <c r="DF16" i="9" a="1"/>
  <c r="DF16" i="9" l="1"/>
  <c r="DE16" i="9"/>
  <c r="AU15" i="9"/>
  <c r="AV15" i="9"/>
  <c r="AH16" i="9"/>
  <c r="S16" i="9" a="1"/>
  <c r="S16" i="9" s="1"/>
  <c r="DD16" i="9" a="1"/>
  <c r="BY16" i="9" a="1"/>
  <c r="DC16" i="9" a="1"/>
  <c r="BZ16" i="9" a="1"/>
  <c r="DC16" i="9" l="1"/>
  <c r="DD16" i="9"/>
  <c r="AI49" i="9"/>
  <c r="BY16" i="9"/>
  <c r="BZ16" i="9"/>
  <c r="R16" i="9"/>
  <c r="AG16" i="9"/>
  <c r="DB16" i="9" a="1"/>
  <c r="BX16" i="9" a="1"/>
  <c r="BW16" i="9" a="1"/>
  <c r="DA16" i="9" a="1"/>
  <c r="DB16" i="9" l="1"/>
  <c r="DA16" i="9"/>
  <c r="BX16" i="9"/>
  <c r="BW16" i="9"/>
  <c r="AF16" i="9"/>
  <c r="Q16" i="9"/>
  <c r="BU16" i="9" a="1"/>
  <c r="BV16" i="9" a="1"/>
  <c r="CZ16" i="9" a="1"/>
  <c r="CY16" i="9" a="1"/>
  <c r="CZ16" i="9" l="1"/>
  <c r="CY16" i="9"/>
  <c r="BV16" i="9"/>
  <c r="BU16" i="9"/>
  <c r="P16" i="9"/>
  <c r="AE16" i="9"/>
  <c r="BS16" i="9" a="1"/>
  <c r="BT16" i="9" a="1"/>
  <c r="CX16" i="9" a="1"/>
  <c r="CW16" i="9" a="1"/>
  <c r="CW16" i="9" l="1"/>
  <c r="CX16" i="9"/>
  <c r="BS16" i="9"/>
  <c r="BT16" i="9"/>
  <c r="AD16" i="9"/>
  <c r="O16" i="9"/>
  <c r="BQ16" i="9" a="1"/>
  <c r="BR16" i="9" a="1"/>
  <c r="CU16" i="9" a="1"/>
  <c r="CV16" i="9" a="1"/>
  <c r="CU16" i="9" l="1"/>
  <c r="CV16" i="9"/>
  <c r="BR16" i="9"/>
  <c r="BQ16" i="9"/>
  <c r="N16" i="9"/>
  <c r="AC16" i="9"/>
  <c r="CS16" i="9" a="1"/>
  <c r="CT16" i="9" a="1"/>
  <c r="BP16" i="9" a="1"/>
  <c r="BO16" i="9" a="1"/>
  <c r="CS16" i="9" l="1"/>
  <c r="CT16" i="9"/>
  <c r="BP16" i="9"/>
  <c r="BO16" i="9"/>
  <c r="AB16" i="9"/>
  <c r="M16" i="9"/>
  <c r="CQ16" i="9" a="1"/>
  <c r="BN16" i="9" a="1"/>
  <c r="CR16" i="9" a="1"/>
  <c r="BM16" i="9" a="1"/>
  <c r="BM16" i="9" l="1"/>
  <c r="BN16" i="9"/>
  <c r="CR16" i="9"/>
  <c r="CQ16" i="9"/>
  <c r="L16" i="9"/>
  <c r="AA16" i="9"/>
  <c r="CP16" i="9" a="1"/>
  <c r="BK16" i="9" a="1"/>
  <c r="CO16" i="9" a="1"/>
  <c r="BL16" i="9" a="1"/>
  <c r="CP16" i="9" l="1"/>
  <c r="CO16" i="9"/>
  <c r="BL16" i="9"/>
  <c r="BK16" i="9"/>
  <c r="Z16" i="9"/>
  <c r="K16" i="9"/>
  <c r="BI16" i="9" a="1"/>
  <c r="CN16" i="9" a="1"/>
  <c r="BJ16" i="9" a="1"/>
  <c r="CM16" i="9" a="1"/>
  <c r="BJ16" i="9" l="1"/>
  <c r="BI16" i="9"/>
  <c r="CN16" i="9"/>
  <c r="CM16" i="9"/>
  <c r="J16" i="9"/>
  <c r="Y16" i="9"/>
  <c r="BH16" i="9" a="1"/>
  <c r="BG16" i="9" a="1"/>
  <c r="CL16" i="9" a="1"/>
  <c r="CK16" i="9" a="1"/>
  <c r="CL16" i="9" l="1"/>
  <c r="CK16" i="9"/>
  <c r="BG16" i="9"/>
  <c r="BH16" i="9"/>
  <c r="X16" i="9"/>
  <c r="I16" i="9"/>
  <c r="BE16" i="9" a="1"/>
  <c r="CJ16" i="9" a="1"/>
  <c r="CI16" i="9" a="1"/>
  <c r="BF16" i="9" a="1"/>
  <c r="BF16" i="9" l="1"/>
  <c r="BE16" i="9"/>
  <c r="CJ16" i="9"/>
  <c r="CI16" i="9"/>
  <c r="H16" i="9"/>
  <c r="W16" i="9"/>
  <c r="CH16" i="9" a="1"/>
  <c r="BD16" i="9" a="1"/>
  <c r="BC16" i="9" a="1"/>
  <c r="CG16" i="9" a="1"/>
  <c r="CH16" i="9" l="1"/>
  <c r="CG16" i="9"/>
  <c r="BD16" i="9"/>
  <c r="BC16" i="9"/>
  <c r="V16" i="9"/>
  <c r="G16" i="9"/>
  <c r="BA16" i="9" a="1"/>
  <c r="CF16" i="9" a="1"/>
  <c r="CE16" i="9" a="1"/>
  <c r="BB16" i="9" a="1"/>
  <c r="BA16" i="9" l="1"/>
  <c r="BB16" i="9"/>
  <c r="CF16" i="9"/>
  <c r="CE16" i="9"/>
  <c r="F16" i="9"/>
  <c r="U16" i="9"/>
  <c r="CC16" i="9" a="1"/>
  <c r="AY16" i="9" a="1"/>
  <c r="AZ16" i="9" a="1"/>
  <c r="CD16" i="9" a="1"/>
  <c r="CD16" i="9" l="1"/>
  <c r="CC16" i="9"/>
  <c r="AZ16" i="9"/>
  <c r="AY16" i="9"/>
  <c r="T16" i="9"/>
  <c r="E16" i="9"/>
  <c r="AX16" i="9" a="1"/>
  <c r="AW16" i="9" a="1"/>
  <c r="CB16" i="9" a="1"/>
  <c r="CA16" i="9" a="1"/>
  <c r="AX16" i="9" l="1"/>
  <c r="AW16" i="9"/>
  <c r="CB16" i="9"/>
  <c r="CA16" i="9"/>
  <c r="D16" i="9"/>
  <c r="AI17" i="9"/>
  <c r="AV16" i="9" a="1"/>
  <c r="DE17" i="9" a="1"/>
  <c r="DF17" i="9" a="1"/>
  <c r="AU16" i="9" a="1"/>
  <c r="DF17" i="9" l="1"/>
  <c r="DE17" i="9"/>
  <c r="AU16" i="9"/>
  <c r="AV16" i="9"/>
  <c r="AH17" i="9"/>
  <c r="S17" i="9" a="1"/>
  <c r="S17" i="9" s="1"/>
  <c r="BY17" i="9" a="1"/>
  <c r="DD17" i="9" a="1"/>
  <c r="DC17" i="9" a="1"/>
  <c r="BZ17" i="9" a="1"/>
  <c r="DC17" i="9" l="1"/>
  <c r="DD17" i="9"/>
  <c r="AI50" i="9"/>
  <c r="BY17" i="9"/>
  <c r="BZ17" i="9"/>
  <c r="R17" i="9"/>
  <c r="AG17" i="9"/>
  <c r="BX17" i="9" a="1"/>
  <c r="DA17" i="9" a="1"/>
  <c r="BW17" i="9" a="1"/>
  <c r="DB17" i="9" a="1"/>
  <c r="DA17" i="9" l="1"/>
  <c r="DB17" i="9"/>
  <c r="BX17" i="9"/>
  <c r="BW17" i="9"/>
  <c r="AF17" i="9"/>
  <c r="Q17" i="9"/>
  <c r="BU17" i="9" a="1"/>
  <c r="CZ17" i="9" a="1"/>
  <c r="CY17" i="9" a="1"/>
  <c r="BV17" i="9" a="1"/>
  <c r="CY17" i="9" l="1"/>
  <c r="CZ17" i="9"/>
  <c r="BU17" i="9"/>
  <c r="BV17" i="9"/>
  <c r="P17" i="9"/>
  <c r="AE17" i="9"/>
  <c r="CW17" i="9" a="1"/>
  <c r="CX17" i="9" a="1"/>
  <c r="BT17" i="9" a="1"/>
  <c r="BS17" i="9" a="1"/>
  <c r="CW17" i="9" l="1"/>
  <c r="CX17" i="9"/>
  <c r="BS17" i="9"/>
  <c r="BT17" i="9"/>
  <c r="AD17" i="9"/>
  <c r="O17" i="9"/>
  <c r="BQ17" i="9" a="1"/>
  <c r="CV17" i="9" a="1"/>
  <c r="BR17" i="9" a="1"/>
  <c r="CU17" i="9" a="1"/>
  <c r="CU17" i="9" l="1"/>
  <c r="CV17" i="9"/>
  <c r="BR17" i="9"/>
  <c r="BQ17" i="9"/>
  <c r="N17" i="9"/>
  <c r="AC17" i="9"/>
  <c r="CT17" i="9" a="1"/>
  <c r="BO17" i="9" a="1"/>
  <c r="CS17" i="9" a="1"/>
  <c r="BP17" i="9" a="1"/>
  <c r="CS17" i="9" l="1"/>
  <c r="CT17" i="9"/>
  <c r="BP17" i="9"/>
  <c r="BO17" i="9"/>
  <c r="AB17" i="9"/>
  <c r="M17" i="9"/>
  <c r="CR17" i="9" a="1"/>
  <c r="BN17" i="9" a="1"/>
  <c r="BM17" i="9" a="1"/>
  <c r="CQ17" i="9" a="1"/>
  <c r="BN17" i="9" l="1"/>
  <c r="BM17" i="9"/>
  <c r="CR17" i="9"/>
  <c r="CQ17" i="9"/>
  <c r="L17" i="9"/>
  <c r="AA17" i="9"/>
  <c r="BK17" i="9" a="1"/>
  <c r="BL17" i="9" a="1"/>
  <c r="CO17" i="9" a="1"/>
  <c r="CP17" i="9" a="1"/>
  <c r="CO17" i="9" l="1"/>
  <c r="CP17" i="9"/>
  <c r="BL17" i="9"/>
  <c r="BK17" i="9"/>
  <c r="Z17" i="9"/>
  <c r="K17" i="9"/>
  <c r="BI17" i="9" a="1"/>
  <c r="BJ17" i="9" a="1"/>
  <c r="CM17" i="9" a="1"/>
  <c r="CN17" i="9" a="1"/>
  <c r="BI17" i="9" l="1"/>
  <c r="BJ17" i="9"/>
  <c r="CN17" i="9"/>
  <c r="CM17" i="9"/>
  <c r="J17" i="9"/>
  <c r="Y17" i="9"/>
  <c r="CK17" i="9" a="1"/>
  <c r="CL17" i="9" a="1"/>
  <c r="BH17" i="9" a="1"/>
  <c r="BG17" i="9" a="1"/>
  <c r="CK17" i="9" l="1"/>
  <c r="CL17" i="9"/>
  <c r="BH17" i="9"/>
  <c r="BG17" i="9"/>
  <c r="X17" i="9"/>
  <c r="I17" i="9"/>
  <c r="CI17" i="9" a="1"/>
  <c r="BE17" i="9" a="1"/>
  <c r="CJ17" i="9" a="1"/>
  <c r="BF17" i="9" a="1"/>
  <c r="BF17" i="9" l="1"/>
  <c r="BE17" i="9"/>
  <c r="CJ17" i="9"/>
  <c r="CI17" i="9"/>
  <c r="H17" i="9"/>
  <c r="W17" i="9"/>
  <c r="BD17" i="9" a="1"/>
  <c r="BC17" i="9" a="1"/>
  <c r="CH17" i="9" a="1"/>
  <c r="CG17" i="9" a="1"/>
  <c r="CG17" i="9" l="1"/>
  <c r="CH17" i="9"/>
  <c r="BC17" i="9"/>
  <c r="BD17" i="9"/>
  <c r="V17" i="9"/>
  <c r="G17" i="9"/>
  <c r="CE17" i="9" a="1"/>
  <c r="CF17" i="9" a="1"/>
  <c r="BB17" i="9" a="1"/>
  <c r="BA17" i="9" a="1"/>
  <c r="BB17" i="9" l="1"/>
  <c r="BA17" i="9"/>
  <c r="CF17" i="9"/>
  <c r="CE17" i="9"/>
  <c r="F17" i="9"/>
  <c r="U17" i="9"/>
  <c r="AZ17" i="9" a="1"/>
  <c r="AY17" i="9" a="1"/>
  <c r="CC17" i="9" a="1"/>
  <c r="CD17" i="9" a="1"/>
  <c r="CC17" i="9" l="1"/>
  <c r="CD17" i="9"/>
  <c r="AZ17" i="9"/>
  <c r="AY17" i="9"/>
  <c r="T17" i="9"/>
  <c r="E17" i="9"/>
  <c r="AW17" i="9" a="1"/>
  <c r="AX17" i="9" a="1"/>
  <c r="CB17" i="9" a="1"/>
  <c r="CA17" i="9" a="1"/>
  <c r="AX17" i="9" l="1"/>
  <c r="AW17" i="9"/>
  <c r="CB17" i="9"/>
  <c r="CA17" i="9"/>
  <c r="D17" i="9"/>
  <c r="AI18" i="9"/>
  <c r="AU17" i="9" a="1"/>
  <c r="DF18" i="9" a="1"/>
  <c r="AV17" i="9" a="1"/>
  <c r="DE18" i="9" a="1"/>
  <c r="DF18" i="9" l="1"/>
  <c r="DE18" i="9"/>
  <c r="AV17" i="9"/>
  <c r="AU17" i="9"/>
  <c r="AH18" i="9"/>
  <c r="S18" i="9" a="1"/>
  <c r="S18" i="9" s="1"/>
  <c r="DC18" i="9" a="1"/>
  <c r="BY18" i="9" a="1"/>
  <c r="BZ18" i="9" a="1"/>
  <c r="DD18" i="9" a="1"/>
  <c r="DC18" i="9" l="1"/>
  <c r="DD18" i="9"/>
  <c r="AI51" i="9"/>
  <c r="BZ18" i="9"/>
  <c r="BY18" i="9"/>
  <c r="R18" i="9"/>
  <c r="AG18" i="9"/>
  <c r="BX18" i="9" a="1"/>
  <c r="DB18" i="9" a="1"/>
  <c r="DA18" i="9" a="1"/>
  <c r="BW18" i="9" a="1"/>
  <c r="DB18" i="9" l="1"/>
  <c r="DA18" i="9"/>
  <c r="BX18" i="9"/>
  <c r="BW18" i="9"/>
  <c r="AF18" i="9"/>
  <c r="Q18" i="9"/>
  <c r="BV18" i="9" a="1"/>
  <c r="CZ18" i="9" a="1"/>
  <c r="BU18" i="9" a="1"/>
  <c r="CY18" i="9" a="1"/>
  <c r="CZ18" i="9" l="1"/>
  <c r="CY18" i="9"/>
  <c r="BV18" i="9"/>
  <c r="BU18" i="9"/>
  <c r="P18" i="9"/>
  <c r="AE18" i="9"/>
  <c r="CX18" i="9" a="1"/>
  <c r="BT18" i="9" a="1"/>
  <c r="BS18" i="9" a="1"/>
  <c r="CW18" i="9" a="1"/>
  <c r="CW18" i="9" l="1"/>
  <c r="CX18" i="9"/>
  <c r="BT18" i="9"/>
  <c r="BS18" i="9"/>
  <c r="AD18" i="9"/>
  <c r="O18" i="9"/>
  <c r="BQ18" i="9" a="1"/>
  <c r="BR18" i="9" a="1"/>
  <c r="CU18" i="9" a="1"/>
  <c r="CV18" i="9" a="1"/>
  <c r="CV18" i="9" l="1"/>
  <c r="CU18" i="9"/>
  <c r="BR18" i="9"/>
  <c r="BQ18" i="9"/>
  <c r="N18" i="9"/>
  <c r="AC18" i="9"/>
  <c r="BP18" i="9" a="1"/>
  <c r="CS18" i="9" a="1"/>
  <c r="BO18" i="9" a="1"/>
  <c r="CT18" i="9" a="1"/>
  <c r="CS18" i="9" l="1"/>
  <c r="CT18" i="9"/>
  <c r="BP18" i="9"/>
  <c r="BO18" i="9"/>
  <c r="AB18" i="9"/>
  <c r="M18" i="9"/>
  <c r="CQ18" i="9" a="1"/>
  <c r="CR18" i="9" a="1"/>
  <c r="BM18" i="9" a="1"/>
  <c r="BN18" i="9" a="1"/>
  <c r="BM18" i="9" l="1"/>
  <c r="BN18" i="9"/>
  <c r="CR18" i="9"/>
  <c r="CQ18" i="9"/>
  <c r="L18" i="9"/>
  <c r="AA18" i="9"/>
  <c r="BL18" i="9" a="1"/>
  <c r="CO18" i="9" a="1"/>
  <c r="BK18" i="9" a="1"/>
  <c r="CP18" i="9" a="1"/>
  <c r="CP18" i="9" l="1"/>
  <c r="CO18" i="9"/>
  <c r="BK18" i="9"/>
  <c r="BL18" i="9"/>
  <c r="Z18" i="9"/>
  <c r="K18" i="9"/>
  <c r="BJ18" i="9" a="1"/>
  <c r="CM18" i="9" a="1"/>
  <c r="BI18" i="9" a="1"/>
  <c r="CN18" i="9" a="1"/>
  <c r="BJ18" i="9" l="1"/>
  <c r="BI18" i="9"/>
  <c r="CN18" i="9"/>
  <c r="CM18" i="9"/>
  <c r="J18" i="9"/>
  <c r="Y18" i="9"/>
  <c r="CK18" i="9" a="1"/>
  <c r="BH18" i="9" a="1"/>
  <c r="CL18" i="9" a="1"/>
  <c r="BG18" i="9" a="1"/>
  <c r="CL18" i="9" l="1"/>
  <c r="CK18" i="9"/>
  <c r="BH18" i="9"/>
  <c r="BG18" i="9"/>
  <c r="X18" i="9"/>
  <c r="I18" i="9"/>
  <c r="BF18" i="9" a="1"/>
  <c r="CI18" i="9" a="1"/>
  <c r="BE18" i="9" a="1"/>
  <c r="CJ18" i="9" a="1"/>
  <c r="BF18" i="9" l="1"/>
  <c r="BE18" i="9"/>
  <c r="CJ18" i="9"/>
  <c r="CI18" i="9"/>
  <c r="H18" i="9"/>
  <c r="W18" i="9"/>
  <c r="CG18" i="9" a="1"/>
  <c r="BD18" i="9" a="1"/>
  <c r="BC18" i="9" a="1"/>
  <c r="CH18" i="9" a="1"/>
  <c r="CH18" i="9" l="1"/>
  <c r="CG18" i="9"/>
  <c r="BC18" i="9"/>
  <c r="BD18" i="9"/>
  <c r="V18" i="9"/>
  <c r="G18" i="9"/>
  <c r="CE18" i="9" a="1"/>
  <c r="BA18" i="9" a="1"/>
  <c r="BB18" i="9" a="1"/>
  <c r="CF18" i="9" a="1"/>
  <c r="BB18" i="9" l="1"/>
  <c r="BA18" i="9"/>
  <c r="CF18" i="9"/>
  <c r="CE18" i="9"/>
  <c r="F18" i="9"/>
  <c r="U18" i="9"/>
  <c r="AZ18" i="9" a="1"/>
  <c r="CC18" i="9" a="1"/>
  <c r="AY18" i="9" a="1"/>
  <c r="CD18" i="9" a="1"/>
  <c r="CD18" i="9" l="1"/>
  <c r="CC18" i="9"/>
  <c r="AY18" i="9"/>
  <c r="AZ18" i="9"/>
  <c r="T18" i="9"/>
  <c r="E18" i="9"/>
  <c r="AW18" i="9" a="1"/>
  <c r="AX18" i="9" a="1"/>
  <c r="CB18" i="9" a="1"/>
  <c r="CA18" i="9" a="1"/>
  <c r="AX18" i="9" l="1"/>
  <c r="AW18" i="9"/>
  <c r="CB18" i="9"/>
  <c r="CA18" i="9"/>
  <c r="D18" i="9"/>
  <c r="AI19" i="9"/>
  <c r="AU18" i="9" a="1"/>
  <c r="AV18" i="9" a="1"/>
  <c r="DE19" i="9" a="1"/>
  <c r="DF19" i="9" a="1"/>
  <c r="DF19" i="9" l="1"/>
  <c r="DE19" i="9"/>
  <c r="AU18" i="9"/>
  <c r="AV18" i="9"/>
  <c r="AH19" i="9"/>
  <c r="S19" i="9" a="1"/>
  <c r="S19" i="9" s="1"/>
  <c r="DD19" i="9" a="1"/>
  <c r="DC19" i="9" a="1"/>
  <c r="BZ19" i="9" a="1"/>
  <c r="BY19" i="9" a="1"/>
  <c r="DD19" i="9" l="1"/>
  <c r="DC19" i="9"/>
  <c r="AI52" i="9"/>
  <c r="BZ19" i="9"/>
  <c r="BY19" i="9"/>
  <c r="R19" i="9"/>
  <c r="AG19" i="9"/>
  <c r="DA19" i="9" a="1"/>
  <c r="DB19" i="9" a="1"/>
  <c r="BW19" i="9" a="1"/>
  <c r="BX19" i="9" a="1"/>
  <c r="DB19" i="9" l="1"/>
  <c r="DA19" i="9"/>
  <c r="BX19" i="9"/>
  <c r="BW19" i="9"/>
  <c r="AF19" i="9"/>
  <c r="Q19" i="9"/>
  <c r="CZ19" i="9" a="1"/>
  <c r="BU19" i="9" a="1"/>
  <c r="BV19" i="9" a="1"/>
  <c r="CY19" i="9" a="1"/>
  <c r="CZ19" i="9" l="1"/>
  <c r="CY19" i="9"/>
  <c r="BV19" i="9"/>
  <c r="BU19" i="9"/>
  <c r="P19" i="9"/>
  <c r="AE19" i="9"/>
  <c r="BT19" i="9" a="1"/>
  <c r="CW19" i="9" a="1"/>
  <c r="CX19" i="9" a="1"/>
  <c r="BS19" i="9" a="1"/>
  <c r="CW19" i="9" l="1"/>
  <c r="CX19" i="9"/>
  <c r="BT19" i="9"/>
  <c r="BS19" i="9"/>
  <c r="AD19" i="9"/>
  <c r="O19" i="9"/>
  <c r="CV19" i="9" a="1"/>
  <c r="BQ19" i="9" a="1"/>
  <c r="BR19" i="9" a="1"/>
  <c r="CU19" i="9" a="1"/>
  <c r="CU19" i="9" l="1"/>
  <c r="CV19" i="9"/>
  <c r="BR19" i="9"/>
  <c r="BQ19" i="9"/>
  <c r="N19" i="9"/>
  <c r="AC19" i="9"/>
  <c r="CT19" i="9" a="1"/>
  <c r="BO19" i="9" a="1"/>
  <c r="CS19" i="9" a="1"/>
  <c r="BP19" i="9" a="1"/>
  <c r="CS19" i="9" l="1"/>
  <c r="CT19" i="9"/>
  <c r="BP19" i="9"/>
  <c r="BO19" i="9"/>
  <c r="AB19" i="9"/>
  <c r="M19" i="9"/>
  <c r="CR19" i="9" a="1"/>
  <c r="CQ19" i="9" a="1"/>
  <c r="BM19" i="9" a="1"/>
  <c r="BN19" i="9" a="1"/>
  <c r="BN19" i="9" l="1"/>
  <c r="BM19" i="9"/>
  <c r="CR19" i="9"/>
  <c r="CQ19" i="9"/>
  <c r="L19" i="9"/>
  <c r="AA19" i="9"/>
  <c r="CP19" i="9" a="1"/>
  <c r="BL19" i="9" a="1"/>
  <c r="BK19" i="9" a="1"/>
  <c r="CO19" i="9" a="1"/>
  <c r="CP19" i="9" l="1"/>
  <c r="CO19" i="9"/>
  <c r="BL19" i="9"/>
  <c r="BK19" i="9"/>
  <c r="Z19" i="9"/>
  <c r="K19" i="9"/>
  <c r="CM19" i="9" a="1"/>
  <c r="BI19" i="9" a="1"/>
  <c r="BJ19" i="9" a="1"/>
  <c r="CN19" i="9" a="1"/>
  <c r="BJ19" i="9" l="1"/>
  <c r="BI19" i="9"/>
  <c r="CN19" i="9"/>
  <c r="CM19" i="9"/>
  <c r="J19" i="9"/>
  <c r="Y19" i="9"/>
  <c r="BG19" i="9" a="1"/>
  <c r="BH19" i="9" a="1"/>
  <c r="CK19" i="9" a="1"/>
  <c r="CL19" i="9" a="1"/>
  <c r="CL19" i="9" l="1"/>
  <c r="CK19" i="9"/>
  <c r="BH19" i="9"/>
  <c r="BG19" i="9"/>
  <c r="X19" i="9"/>
  <c r="I19" i="9"/>
  <c r="CJ19" i="9" a="1"/>
  <c r="BF19" i="9" a="1"/>
  <c r="CI19" i="9" a="1"/>
  <c r="BE19" i="9" a="1"/>
  <c r="BF19" i="9" l="1"/>
  <c r="BE19" i="9"/>
  <c r="CJ19" i="9"/>
  <c r="CI19" i="9"/>
  <c r="H19" i="9"/>
  <c r="W19" i="9"/>
  <c r="BC19" i="9" a="1"/>
  <c r="BD19" i="9" a="1"/>
  <c r="CG19" i="9" a="1"/>
  <c r="CH19" i="9" a="1"/>
  <c r="CH19" i="9" l="1"/>
  <c r="CG19" i="9"/>
  <c r="BD19" i="9"/>
  <c r="BC19" i="9"/>
  <c r="V19" i="9"/>
  <c r="G19" i="9"/>
  <c r="BA19" i="9" a="1"/>
  <c r="CE19" i="9" a="1"/>
  <c r="BB19" i="9" a="1"/>
  <c r="CF19" i="9" a="1"/>
  <c r="BB19" i="9" l="1"/>
  <c r="BA19" i="9"/>
  <c r="CF19" i="9"/>
  <c r="CE19" i="9"/>
  <c r="F19" i="9"/>
  <c r="U19" i="9"/>
  <c r="CC19" i="9" a="1"/>
  <c r="AY19" i="9" a="1"/>
  <c r="AZ19" i="9" a="1"/>
  <c r="CD19" i="9" a="1"/>
  <c r="CD19" i="9" l="1"/>
  <c r="CC19" i="9"/>
  <c r="AZ19" i="9"/>
  <c r="AY19" i="9"/>
  <c r="T19" i="9"/>
  <c r="E19" i="9"/>
  <c r="CA19" i="9" a="1"/>
  <c r="AW19" i="9" a="1"/>
  <c r="AX19" i="9" a="1"/>
  <c r="CB19" i="9" a="1"/>
  <c r="AX19" i="9" l="1"/>
  <c r="AW19" i="9"/>
  <c r="CB19" i="9"/>
  <c r="CA19" i="9"/>
  <c r="D19" i="9"/>
  <c r="AI20" i="9"/>
  <c r="DF20" i="9" a="1"/>
  <c r="AV19" i="9" a="1"/>
  <c r="AU19" i="9" a="1"/>
  <c r="DE20" i="9" a="1"/>
  <c r="DF20" i="9" l="1"/>
  <c r="DE20" i="9"/>
  <c r="AV19" i="9"/>
  <c r="AU19" i="9"/>
  <c r="AH20" i="9"/>
  <c r="S20" i="9" a="1"/>
  <c r="S20" i="9" s="1"/>
  <c r="DC20" i="9" a="1"/>
  <c r="BY20" i="9" a="1"/>
  <c r="BZ20" i="9" a="1"/>
  <c r="DD20" i="9" a="1"/>
  <c r="DD20" i="9" l="1"/>
  <c r="DC20" i="9"/>
  <c r="AI53" i="9"/>
  <c r="BZ20" i="9"/>
  <c r="BY20" i="9"/>
  <c r="R20" i="9"/>
  <c r="AG20" i="9"/>
  <c r="DA20" i="9" a="1"/>
  <c r="BX20" i="9" a="1"/>
  <c r="BW20" i="9" a="1"/>
  <c r="DB20" i="9" a="1"/>
  <c r="DA20" i="9" l="1"/>
  <c r="DB20" i="9"/>
  <c r="BX20" i="9"/>
  <c r="BW20" i="9"/>
  <c r="AF20" i="9"/>
  <c r="Q20" i="9"/>
  <c r="CY20" i="9" a="1"/>
  <c r="BU20" i="9" a="1"/>
  <c r="BV20" i="9" a="1"/>
  <c r="CZ20" i="9" a="1"/>
  <c r="CZ20" i="9" l="1"/>
  <c r="CY20" i="9"/>
  <c r="BV20" i="9"/>
  <c r="BU20" i="9"/>
  <c r="P20" i="9"/>
  <c r="AE20" i="9"/>
  <c r="CX20" i="9" a="1"/>
  <c r="BT20" i="9" a="1"/>
  <c r="BS20" i="9" a="1"/>
  <c r="CW20" i="9" a="1"/>
  <c r="CW20" i="9" l="1"/>
  <c r="CX20" i="9"/>
  <c r="BT20" i="9"/>
  <c r="BS20" i="9"/>
  <c r="AD20" i="9"/>
  <c r="O20" i="9"/>
  <c r="BQ20" i="9" a="1"/>
  <c r="CV20" i="9" a="1"/>
  <c r="BR20" i="9" a="1"/>
  <c r="CU20" i="9" a="1"/>
  <c r="CV20" i="9" l="1"/>
  <c r="CU20" i="9"/>
  <c r="BR20" i="9"/>
  <c r="BQ20" i="9"/>
  <c r="N20" i="9"/>
  <c r="AC20" i="9"/>
  <c r="BO20" i="9" a="1"/>
  <c r="BP20" i="9" a="1"/>
  <c r="CS20" i="9" a="1"/>
  <c r="CT20" i="9" a="1"/>
  <c r="CT20" i="9" l="1"/>
  <c r="CS20" i="9"/>
  <c r="BP20" i="9"/>
  <c r="BO20" i="9"/>
  <c r="AB20" i="9"/>
  <c r="M20" i="9"/>
  <c r="CR20" i="9" a="1"/>
  <c r="CQ20" i="9" a="1"/>
  <c r="BN20" i="9" a="1"/>
  <c r="BM20" i="9" a="1"/>
  <c r="BN20" i="9" l="1"/>
  <c r="BM20" i="9"/>
  <c r="CR20" i="9"/>
  <c r="CQ20" i="9"/>
  <c r="L20" i="9"/>
  <c r="AA20" i="9"/>
  <c r="BL20" i="9" a="1"/>
  <c r="BK20" i="9" a="1"/>
  <c r="CP20" i="9" a="1"/>
  <c r="CO20" i="9" a="1"/>
  <c r="CP20" i="9" l="1"/>
  <c r="CO20" i="9"/>
  <c r="BL20" i="9"/>
  <c r="BK20" i="9"/>
  <c r="Z20" i="9"/>
  <c r="K20" i="9"/>
  <c r="BI20" i="9" a="1"/>
  <c r="CM20" i="9" a="1"/>
  <c r="BJ20" i="9" a="1"/>
  <c r="CN20" i="9" a="1"/>
  <c r="BJ20" i="9" l="1"/>
  <c r="BI20" i="9"/>
  <c r="CN20" i="9"/>
  <c r="CM20" i="9"/>
  <c r="J20" i="9"/>
  <c r="Y20" i="9"/>
  <c r="CK20" i="9" a="1"/>
  <c r="CL20" i="9" a="1"/>
  <c r="BG20" i="9" a="1"/>
  <c r="BH20" i="9" a="1"/>
  <c r="CL20" i="9" l="1"/>
  <c r="CK20" i="9"/>
  <c r="BH20" i="9"/>
  <c r="BG20" i="9"/>
  <c r="X20" i="9"/>
  <c r="I20" i="9"/>
  <c r="CJ20" i="9" a="1"/>
  <c r="CI20" i="9" a="1"/>
  <c r="BE20" i="9" a="1"/>
  <c r="BF20" i="9" a="1"/>
  <c r="BF20" i="9" l="1"/>
  <c r="BE20" i="9"/>
  <c r="CJ20" i="9"/>
  <c r="CI20" i="9"/>
  <c r="H20" i="9"/>
  <c r="W20" i="9"/>
  <c r="BC20" i="9" a="1"/>
  <c r="CG20" i="9" a="1"/>
  <c r="BD20" i="9" a="1"/>
  <c r="CH20" i="9" a="1"/>
  <c r="CH20" i="9" l="1"/>
  <c r="CG20" i="9"/>
  <c r="BD20" i="9"/>
  <c r="BC20" i="9"/>
  <c r="V20" i="9"/>
  <c r="G20" i="9"/>
  <c r="CF20" i="9" a="1"/>
  <c r="BB20" i="9" a="1"/>
  <c r="BA20" i="9" a="1"/>
  <c r="CE20" i="9" a="1"/>
  <c r="BB20" i="9" l="1"/>
  <c r="BA20" i="9"/>
  <c r="CF20" i="9"/>
  <c r="CE20" i="9"/>
  <c r="F20" i="9"/>
  <c r="U20" i="9"/>
  <c r="AY20" i="9" a="1"/>
  <c r="CD20" i="9" a="1"/>
  <c r="AZ20" i="9" a="1"/>
  <c r="CC20" i="9" a="1"/>
  <c r="CD20" i="9" l="1"/>
  <c r="CC20" i="9"/>
  <c r="AZ20" i="9"/>
  <c r="AY20" i="9"/>
  <c r="T20" i="9"/>
  <c r="E20" i="9"/>
  <c r="AW20" i="9" a="1"/>
  <c r="CB20" i="9" a="1"/>
  <c r="AX20" i="9" a="1"/>
  <c r="CA20" i="9" a="1"/>
  <c r="AX20" i="9" l="1"/>
  <c r="AW20" i="9"/>
  <c r="CB20" i="9"/>
  <c r="CA20" i="9"/>
  <c r="D20" i="9"/>
  <c r="AI21" i="9"/>
  <c r="AU20" i="9" a="1"/>
  <c r="DF21" i="9" a="1"/>
  <c r="DE21" i="9" a="1"/>
  <c r="AV20" i="9" a="1"/>
  <c r="DF21" i="9" l="1"/>
  <c r="DE21" i="9"/>
  <c r="AV20" i="9"/>
  <c r="AU20" i="9"/>
  <c r="AH21" i="9"/>
  <c r="S21" i="9" a="1"/>
  <c r="S21" i="9" s="1"/>
  <c r="BY21" i="9" a="1"/>
  <c r="BZ21" i="9" a="1"/>
  <c r="DD21" i="9" a="1"/>
  <c r="DC21" i="9" a="1"/>
  <c r="DC21" i="9" l="1"/>
  <c r="DD21" i="9"/>
  <c r="AI54" i="9"/>
  <c r="BZ21" i="9"/>
  <c r="BY21" i="9"/>
  <c r="R21" i="9"/>
  <c r="AG21" i="9"/>
  <c r="BX21" i="9" a="1"/>
  <c r="BW21" i="9" a="1"/>
  <c r="DB21" i="9" a="1"/>
  <c r="DA21" i="9" a="1"/>
  <c r="DB21" i="9" l="1"/>
  <c r="DA21" i="9"/>
  <c r="BX21" i="9"/>
  <c r="BW21" i="9"/>
  <c r="AF21" i="9"/>
  <c r="Q21" i="9"/>
  <c r="BV21" i="9" a="1"/>
  <c r="CZ21" i="9" a="1"/>
  <c r="BU21" i="9" a="1"/>
  <c r="CY21" i="9" a="1"/>
  <c r="CZ21" i="9" l="1"/>
  <c r="CY21" i="9"/>
  <c r="BV21" i="9"/>
  <c r="BU21" i="9"/>
  <c r="P21" i="9"/>
  <c r="AE21" i="9"/>
  <c r="CX21" i="9" a="1"/>
  <c r="BS21" i="9" a="1"/>
  <c r="BT21" i="9" a="1"/>
  <c r="CW21" i="9" a="1"/>
  <c r="CX21" i="9" l="1"/>
  <c r="CW21" i="9"/>
  <c r="BT21" i="9"/>
  <c r="BS21" i="9"/>
  <c r="AD21" i="9"/>
  <c r="O21" i="9"/>
  <c r="BQ21" i="9" a="1"/>
  <c r="BR21" i="9" a="1"/>
  <c r="CU21" i="9" a="1"/>
  <c r="CV21" i="9" a="1"/>
  <c r="CU21" i="9" l="1"/>
  <c r="CV21" i="9"/>
  <c r="BR21" i="9"/>
  <c r="BQ21" i="9"/>
  <c r="N21" i="9"/>
  <c r="AC21" i="9"/>
  <c r="BO21" i="9" a="1"/>
  <c r="CT21" i="9" a="1"/>
  <c r="BP21" i="9" a="1"/>
  <c r="CS21" i="9" a="1"/>
  <c r="CT21" i="9" l="1"/>
  <c r="CS21" i="9"/>
  <c r="BP21" i="9"/>
  <c r="BO21" i="9"/>
  <c r="AB21" i="9"/>
  <c r="M21" i="9"/>
  <c r="BM21" i="9" a="1"/>
  <c r="CR21" i="9" a="1"/>
  <c r="BN21" i="9" a="1"/>
  <c r="CQ21" i="9" a="1"/>
  <c r="BN21" i="9" l="1"/>
  <c r="BM21" i="9"/>
  <c r="CR21" i="9"/>
  <c r="CQ21" i="9"/>
  <c r="L21" i="9"/>
  <c r="AA21" i="9"/>
  <c r="BL21" i="9" a="1"/>
  <c r="CO21" i="9" a="1"/>
  <c r="BK21" i="9" a="1"/>
  <c r="CP21" i="9" a="1"/>
  <c r="CP21" i="9" l="1"/>
  <c r="CO21" i="9"/>
  <c r="BL21" i="9"/>
  <c r="BK21" i="9"/>
  <c r="Z21" i="9"/>
  <c r="K21" i="9"/>
  <c r="CM21" i="9" a="1"/>
  <c r="BJ21" i="9" a="1"/>
  <c r="CN21" i="9" a="1"/>
  <c r="BI21" i="9" a="1"/>
  <c r="BJ21" i="9" l="1"/>
  <c r="BI21" i="9"/>
  <c r="CN21" i="9"/>
  <c r="CM21" i="9"/>
  <c r="J21" i="9"/>
  <c r="Y21" i="9"/>
  <c r="BG21" i="9" a="1"/>
  <c r="BH21" i="9" a="1"/>
  <c r="CK21" i="9" a="1"/>
  <c r="CL21" i="9" a="1"/>
  <c r="CL21" i="9" l="1"/>
  <c r="CK21" i="9"/>
  <c r="BH21" i="9"/>
  <c r="BG21" i="9"/>
  <c r="X21" i="9"/>
  <c r="I21" i="9"/>
  <c r="CJ21" i="9" a="1"/>
  <c r="BE21" i="9" a="1"/>
  <c r="CI21" i="9" a="1"/>
  <c r="BF21" i="9" a="1"/>
  <c r="BF21" i="9" l="1"/>
  <c r="BE21" i="9"/>
  <c r="CJ21" i="9"/>
  <c r="CI21" i="9"/>
  <c r="H21" i="9"/>
  <c r="W21" i="9"/>
  <c r="BD21" i="9" a="1"/>
  <c r="CG21" i="9" a="1"/>
  <c r="CH21" i="9" a="1"/>
  <c r="BC21" i="9" a="1"/>
  <c r="CH21" i="9" l="1"/>
  <c r="CG21" i="9"/>
  <c r="BD21" i="9"/>
  <c r="BC21" i="9"/>
  <c r="V21" i="9"/>
  <c r="G21" i="9"/>
  <c r="BB21" i="9" a="1"/>
  <c r="CE21" i="9" a="1"/>
  <c r="CF21" i="9" a="1"/>
  <c r="BA21" i="9" a="1"/>
  <c r="BB21" i="9" l="1"/>
  <c r="BA21" i="9"/>
  <c r="CF21" i="9"/>
  <c r="CE21" i="9"/>
  <c r="F21" i="9"/>
  <c r="U21" i="9"/>
  <c r="AY21" i="9" a="1"/>
  <c r="CC21" i="9" a="1"/>
  <c r="CD21" i="9" a="1"/>
  <c r="AZ21" i="9" a="1"/>
  <c r="CD21" i="9" l="1"/>
  <c r="CC21" i="9"/>
  <c r="AZ21" i="9"/>
  <c r="AY21" i="9"/>
  <c r="T21" i="9"/>
  <c r="E21" i="9"/>
  <c r="CA21" i="9" a="1"/>
  <c r="CB21" i="9" a="1"/>
  <c r="AX21" i="9" a="1"/>
  <c r="AW21" i="9" a="1"/>
  <c r="AX21" i="9" l="1"/>
  <c r="AW21" i="9"/>
  <c r="CB21" i="9"/>
  <c r="CA21" i="9"/>
  <c r="D21" i="9"/>
  <c r="AI22" i="9"/>
  <c r="DF22" i="9" a="1"/>
  <c r="AU21" i="9" a="1"/>
  <c r="DE22" i="9" a="1"/>
  <c r="AV21" i="9" a="1"/>
  <c r="DF22" i="9" l="1"/>
  <c r="DE22" i="9"/>
  <c r="AV21" i="9"/>
  <c r="AU21" i="9"/>
  <c r="AH22" i="9"/>
  <c r="S22" i="9" a="1"/>
  <c r="S22" i="9" s="1"/>
  <c r="BZ22" i="9" a="1"/>
  <c r="BY22" i="9" a="1"/>
  <c r="DD22" i="9" a="1"/>
  <c r="DC22" i="9" a="1"/>
  <c r="DC22" i="9" l="1"/>
  <c r="DD22" i="9"/>
  <c r="AI55" i="9"/>
  <c r="BZ22" i="9"/>
  <c r="BY22" i="9"/>
  <c r="R22" i="9"/>
  <c r="AG22" i="9"/>
  <c r="DB22" i="9" a="1"/>
  <c r="BW22" i="9" a="1"/>
  <c r="BX22" i="9" a="1"/>
  <c r="DA22" i="9" a="1"/>
  <c r="DA22" i="9" l="1"/>
  <c r="DB22" i="9"/>
  <c r="BX22" i="9"/>
  <c r="BW22" i="9"/>
  <c r="AF22" i="9"/>
  <c r="Q22" i="9"/>
  <c r="BV22" i="9" a="1"/>
  <c r="BU22" i="9" a="1"/>
  <c r="CY22" i="9" a="1"/>
  <c r="CZ22" i="9" a="1"/>
  <c r="CY22" i="9" l="1"/>
  <c r="CZ22" i="9"/>
  <c r="BV22" i="9"/>
  <c r="BU22" i="9"/>
  <c r="P22" i="9"/>
  <c r="AE22" i="9"/>
  <c r="BT22" i="9" a="1"/>
  <c r="BS22" i="9" a="1"/>
  <c r="CW22" i="9" a="1"/>
  <c r="CX22" i="9" a="1"/>
  <c r="CX22" i="9" l="1"/>
  <c r="CW22" i="9"/>
  <c r="BT22" i="9"/>
  <c r="BS22" i="9"/>
  <c r="AD22" i="9"/>
  <c r="O22" i="9"/>
  <c r="BR22" i="9" a="1"/>
  <c r="BQ22" i="9" a="1"/>
  <c r="CV22" i="9" a="1"/>
  <c r="CU22" i="9" a="1"/>
  <c r="CV22" i="9" l="1"/>
  <c r="CU22" i="9"/>
  <c r="BR22" i="9"/>
  <c r="BQ22" i="9"/>
  <c r="N22" i="9"/>
  <c r="AC22" i="9"/>
  <c r="BO22" i="9" a="1"/>
  <c r="BP22" i="9" a="1"/>
  <c r="CS22" i="9" a="1"/>
  <c r="CT22" i="9" a="1"/>
  <c r="CT22" i="9" l="1"/>
  <c r="CS22" i="9"/>
  <c r="BP22" i="9"/>
  <c r="BO22" i="9"/>
  <c r="AB22" i="9"/>
  <c r="M22" i="9"/>
  <c r="CQ22" i="9" a="1"/>
  <c r="BN22" i="9" a="1"/>
  <c r="CR22" i="9" a="1"/>
  <c r="BM22" i="9" a="1"/>
  <c r="BN22" i="9" l="1"/>
  <c r="BM22" i="9"/>
  <c r="CR22" i="9"/>
  <c r="CQ22" i="9"/>
  <c r="L22" i="9"/>
  <c r="AA22" i="9"/>
  <c r="BL22" i="9" a="1"/>
  <c r="CP22" i="9" a="1"/>
  <c r="CO22" i="9" a="1"/>
  <c r="BK22" i="9" a="1"/>
  <c r="CP22" i="9" l="1"/>
  <c r="CO22" i="9"/>
  <c r="BL22" i="9"/>
  <c r="BK22" i="9"/>
  <c r="Z22" i="9"/>
  <c r="K22" i="9"/>
  <c r="CM22" i="9" a="1"/>
  <c r="CN22" i="9" a="1"/>
  <c r="BJ22" i="9" a="1"/>
  <c r="BI22" i="9" a="1"/>
  <c r="BJ22" i="9" l="1"/>
  <c r="BI22" i="9"/>
  <c r="CN22" i="9"/>
  <c r="CM22" i="9"/>
  <c r="J22" i="9"/>
  <c r="Y22" i="9"/>
  <c r="CK22" i="9" a="1"/>
  <c r="BG22" i="9" a="1"/>
  <c r="BH22" i="9" a="1"/>
  <c r="CL22" i="9" a="1"/>
  <c r="CL22" i="9" l="1"/>
  <c r="CK22" i="9"/>
  <c r="BH22" i="9"/>
  <c r="BG22" i="9"/>
  <c r="X22" i="9"/>
  <c r="I22" i="9"/>
  <c r="BE22" i="9" a="1"/>
  <c r="CJ22" i="9" a="1"/>
  <c r="BF22" i="9" a="1"/>
  <c r="CI22" i="9" a="1"/>
  <c r="BF22" i="9" l="1"/>
  <c r="BE22" i="9"/>
  <c r="CJ22" i="9"/>
  <c r="CI22" i="9"/>
  <c r="H22" i="9"/>
  <c r="W22" i="9"/>
  <c r="CG22" i="9" a="1"/>
  <c r="BD22" i="9" a="1"/>
  <c r="CH22" i="9" a="1"/>
  <c r="BC22" i="9" a="1"/>
  <c r="CH22" i="9" l="1"/>
  <c r="CG22" i="9"/>
  <c r="BD22" i="9"/>
  <c r="BC22" i="9"/>
  <c r="V22" i="9"/>
  <c r="G22" i="9"/>
  <c r="CF22" i="9" a="1"/>
  <c r="BA22" i="9" a="1"/>
  <c r="CE22" i="9" a="1"/>
  <c r="BB22" i="9" a="1"/>
  <c r="BB22" i="9" l="1"/>
  <c r="BA22" i="9"/>
  <c r="CF22" i="9"/>
  <c r="CE22" i="9"/>
  <c r="F22" i="9"/>
  <c r="U22" i="9"/>
  <c r="AZ22" i="9" a="1"/>
  <c r="CD22" i="9" a="1"/>
  <c r="AY22" i="9" a="1"/>
  <c r="CC22" i="9" a="1"/>
  <c r="CD22" i="9" l="1"/>
  <c r="CC22" i="9"/>
  <c r="AZ22" i="9"/>
  <c r="AY22" i="9"/>
  <c r="T22" i="9"/>
  <c r="E22" i="9"/>
  <c r="CA22" i="9" a="1"/>
  <c r="AX22" i="9" a="1"/>
  <c r="AW22" i="9" a="1"/>
  <c r="CB22" i="9" a="1"/>
  <c r="AX22" i="9" l="1"/>
  <c r="AW22" i="9"/>
  <c r="CB22" i="9"/>
  <c r="CA22" i="9"/>
  <c r="D22" i="9"/>
  <c r="AI23" i="9"/>
  <c r="AU22" i="9" a="1"/>
  <c r="DF23" i="9" a="1"/>
  <c r="AV22" i="9" a="1"/>
  <c r="DE23" i="9" a="1"/>
  <c r="DE23" i="9" l="1"/>
  <c r="DF23" i="9"/>
  <c r="AV22" i="9"/>
  <c r="AU22" i="9"/>
  <c r="AH23" i="9"/>
  <c r="S23" i="9" a="1"/>
  <c r="S23" i="9" s="1"/>
  <c r="DD23" i="9" a="1"/>
  <c r="BZ23" i="9" a="1"/>
  <c r="BY23" i="9" a="1"/>
  <c r="DC23" i="9" a="1"/>
  <c r="DD23" i="9" l="1"/>
  <c r="DC23" i="9"/>
  <c r="AI56" i="9"/>
  <c r="BZ23" i="9"/>
  <c r="BY23" i="9"/>
  <c r="R23" i="9"/>
  <c r="AG23" i="9"/>
  <c r="DB23" i="9" a="1"/>
  <c r="BX23" i="9" a="1"/>
  <c r="DA23" i="9" a="1"/>
  <c r="BW23" i="9" a="1"/>
  <c r="DA23" i="9" l="1"/>
  <c r="DB23" i="9"/>
  <c r="BX23" i="9"/>
  <c r="BW23" i="9"/>
  <c r="AF23" i="9"/>
  <c r="Q23" i="9"/>
  <c r="CZ23" i="9" a="1"/>
  <c r="BU23" i="9" a="1"/>
  <c r="BV23" i="9" a="1"/>
  <c r="CY23" i="9" a="1"/>
  <c r="CZ23" i="9" l="1"/>
  <c r="CY23" i="9"/>
  <c r="BV23" i="9"/>
  <c r="BU23" i="9"/>
  <c r="P23" i="9"/>
  <c r="AE23" i="9"/>
  <c r="CX23" i="9" a="1"/>
  <c r="BS23" i="9" a="1"/>
  <c r="BT23" i="9" a="1"/>
  <c r="CW23" i="9" a="1"/>
  <c r="CX23" i="9" l="1"/>
  <c r="CW23" i="9"/>
  <c r="BT23" i="9"/>
  <c r="BS23" i="9"/>
  <c r="AD23" i="9"/>
  <c r="O23" i="9"/>
  <c r="CU23" i="9" a="1"/>
  <c r="CV23" i="9" a="1"/>
  <c r="BQ23" i="9" a="1"/>
  <c r="BR23" i="9" a="1"/>
  <c r="CV23" i="9" l="1"/>
  <c r="CU23" i="9"/>
  <c r="BR23" i="9"/>
  <c r="BQ23" i="9"/>
  <c r="N23" i="9"/>
  <c r="AC23" i="9"/>
  <c r="CT23" i="9" a="1"/>
  <c r="CS23" i="9" a="1"/>
  <c r="BP23" i="9" a="1"/>
  <c r="BO23" i="9" a="1"/>
  <c r="CT23" i="9" l="1"/>
  <c r="CS23" i="9"/>
  <c r="BP23" i="9"/>
  <c r="BO23" i="9"/>
  <c r="AB23" i="9"/>
  <c r="M23" i="9"/>
  <c r="CR23" i="9" a="1"/>
  <c r="BN23" i="9" a="1"/>
  <c r="BM23" i="9" a="1"/>
  <c r="CQ23" i="9" a="1"/>
  <c r="BN23" i="9" l="1"/>
  <c r="BM23" i="9"/>
  <c r="CR23" i="9"/>
  <c r="CQ23" i="9"/>
  <c r="L23" i="9"/>
  <c r="AA23" i="9"/>
  <c r="BK23" i="9" a="1"/>
  <c r="BL23" i="9" a="1"/>
  <c r="CO23" i="9" a="1"/>
  <c r="CP23" i="9" a="1"/>
  <c r="CP23" i="9" l="1"/>
  <c r="CO23" i="9"/>
  <c r="BL23" i="9"/>
  <c r="BK23" i="9"/>
  <c r="Z23" i="9"/>
  <c r="K23" i="9"/>
  <c r="CN23" i="9" a="1"/>
  <c r="CM23" i="9" a="1"/>
  <c r="BI23" i="9" a="1"/>
  <c r="BJ23" i="9" a="1"/>
  <c r="BJ23" i="9" l="1"/>
  <c r="BI23" i="9"/>
  <c r="CN23" i="9"/>
  <c r="CM23" i="9"/>
  <c r="J23" i="9"/>
  <c r="Y23" i="9"/>
  <c r="CK23" i="9" a="1"/>
  <c r="BH23" i="9" a="1"/>
  <c r="CL23" i="9" a="1"/>
  <c r="BG23" i="9" a="1"/>
  <c r="CL23" i="9" l="1"/>
  <c r="CK23" i="9"/>
  <c r="BH23" i="9"/>
  <c r="BG23" i="9"/>
  <c r="X23" i="9"/>
  <c r="I23" i="9"/>
  <c r="BF23" i="9" a="1"/>
  <c r="CI23" i="9" a="1"/>
  <c r="BE23" i="9" a="1"/>
  <c r="CJ23" i="9" a="1"/>
  <c r="BF23" i="9" l="1"/>
  <c r="BE23" i="9"/>
  <c r="CJ23" i="9"/>
  <c r="CI23" i="9"/>
  <c r="H23" i="9"/>
  <c r="W23" i="9"/>
  <c r="CG23" i="9" a="1"/>
  <c r="BD23" i="9" a="1"/>
  <c r="CH23" i="9" a="1"/>
  <c r="BC23" i="9" a="1"/>
  <c r="CH23" i="9" l="1"/>
  <c r="CG23" i="9"/>
  <c r="BD23" i="9"/>
  <c r="BC23" i="9"/>
  <c r="V23" i="9"/>
  <c r="G23" i="9"/>
  <c r="CF23" i="9" a="1"/>
  <c r="BB23" i="9" a="1"/>
  <c r="BA23" i="9" a="1"/>
  <c r="CE23" i="9" a="1"/>
  <c r="BB23" i="9" l="1"/>
  <c r="BA23" i="9"/>
  <c r="CF23" i="9"/>
  <c r="CE23" i="9"/>
  <c r="F23" i="9"/>
  <c r="U23" i="9"/>
  <c r="CD23" i="9" a="1"/>
  <c r="AY23" i="9" a="1"/>
  <c r="CC23" i="9" a="1"/>
  <c r="AZ23" i="9" a="1"/>
  <c r="CD23" i="9" l="1"/>
  <c r="CC23" i="9"/>
  <c r="AZ23" i="9"/>
  <c r="AY23" i="9"/>
  <c r="T23" i="9"/>
  <c r="E23" i="9"/>
  <c r="CA23" i="9" a="1"/>
  <c r="AX23" i="9" a="1"/>
  <c r="CB23" i="9" a="1"/>
  <c r="AW23" i="9" a="1"/>
  <c r="AX23" i="9" l="1"/>
  <c r="AW23" i="9"/>
  <c r="CB23" i="9"/>
  <c r="CA23" i="9"/>
  <c r="D23" i="9"/>
  <c r="AI24" i="9"/>
  <c r="AV23" i="9" a="1"/>
  <c r="AU23" i="9" a="1"/>
  <c r="DF24" i="9" a="1"/>
  <c r="DE24" i="9" a="1"/>
  <c r="DF24" i="9" l="1"/>
  <c r="DE24" i="9"/>
  <c r="AV23" i="9"/>
  <c r="AU23" i="9"/>
  <c r="AH24" i="9"/>
  <c r="S24" i="9" a="1"/>
  <c r="S24" i="9" s="1"/>
  <c r="BZ24" i="9" a="1"/>
  <c r="DC24" i="9" a="1"/>
  <c r="DD24" i="9" a="1"/>
  <c r="BY24" i="9" a="1"/>
  <c r="DC24" i="9" l="1"/>
  <c r="DD24" i="9"/>
  <c r="AI57" i="9"/>
  <c r="BZ24" i="9"/>
  <c r="BY24" i="9"/>
  <c r="R24" i="9"/>
  <c r="AG24" i="9"/>
  <c r="DB24" i="9" a="1"/>
  <c r="BX24" i="9" a="1"/>
  <c r="DA24" i="9" a="1"/>
  <c r="BW24" i="9" a="1"/>
  <c r="DB24" i="9" l="1"/>
  <c r="DA24" i="9"/>
  <c r="BX24" i="9"/>
  <c r="BW24" i="9"/>
  <c r="AF24" i="9"/>
  <c r="Q24" i="9"/>
  <c r="BU24" i="9" a="1"/>
  <c r="BV24" i="9" a="1"/>
  <c r="CY24" i="9" a="1"/>
  <c r="CZ24" i="9" a="1"/>
  <c r="CZ24" i="9" l="1"/>
  <c r="CY24" i="9"/>
  <c r="BV24" i="9"/>
  <c r="BU24" i="9"/>
  <c r="P24" i="9"/>
  <c r="AE24" i="9"/>
  <c r="BT24" i="9" a="1"/>
  <c r="CX24" i="9" a="1"/>
  <c r="BS24" i="9" a="1"/>
  <c r="CW24" i="9" a="1"/>
  <c r="CW24" i="9" l="1"/>
  <c r="CX24" i="9"/>
  <c r="BT24" i="9"/>
  <c r="BS24" i="9"/>
  <c r="AD24" i="9"/>
  <c r="O24" i="9"/>
  <c r="CU24" i="9" a="1"/>
  <c r="BR24" i="9" a="1"/>
  <c r="BQ24" i="9" a="1"/>
  <c r="CV24" i="9" a="1"/>
  <c r="CV24" i="9" l="1"/>
  <c r="CU24" i="9"/>
  <c r="BR24" i="9"/>
  <c r="BQ24" i="9"/>
  <c r="N24" i="9"/>
  <c r="AC24" i="9"/>
  <c r="CS24" i="9" a="1"/>
  <c r="BP24" i="9" a="1"/>
  <c r="CT24" i="9" a="1"/>
  <c r="BO24" i="9" a="1"/>
  <c r="CS24" i="9" l="1"/>
  <c r="CT24" i="9"/>
  <c r="BP24" i="9"/>
  <c r="BO24" i="9"/>
  <c r="AB24" i="9"/>
  <c r="M24" i="9"/>
  <c r="CR24" i="9" a="1"/>
  <c r="BM24" i="9" a="1"/>
  <c r="BN24" i="9" a="1"/>
  <c r="CQ24" i="9" a="1"/>
  <c r="BN24" i="9" l="1"/>
  <c r="BM24" i="9"/>
  <c r="CQ24" i="9"/>
  <c r="CR24" i="9"/>
  <c r="L24" i="9"/>
  <c r="AA24" i="9"/>
  <c r="CO24" i="9" a="1"/>
  <c r="BL24" i="9" a="1"/>
  <c r="BK24" i="9" a="1"/>
  <c r="CP24" i="9" a="1"/>
  <c r="CP24" i="9" l="1"/>
  <c r="CO24" i="9"/>
  <c r="BL24" i="9"/>
  <c r="BK24" i="9"/>
  <c r="Z24" i="9"/>
  <c r="K24" i="9"/>
  <c r="CN24" i="9" a="1"/>
  <c r="BI24" i="9" a="1"/>
  <c r="CM24" i="9" a="1"/>
  <c r="BJ24" i="9" a="1"/>
  <c r="BJ24" i="9" l="1"/>
  <c r="BI24" i="9"/>
  <c r="CN24" i="9"/>
  <c r="CM24" i="9"/>
  <c r="J24" i="9"/>
  <c r="Y24" i="9"/>
  <c r="BH24" i="9" a="1"/>
  <c r="CL24" i="9" a="1"/>
  <c r="CK24" i="9" a="1"/>
  <c r="BG24" i="9" a="1"/>
  <c r="CL24" i="9" l="1"/>
  <c r="CK24" i="9"/>
  <c r="BH24" i="9"/>
  <c r="BG24" i="9"/>
  <c r="X24" i="9"/>
  <c r="I24" i="9"/>
  <c r="CI24" i="9" a="1"/>
  <c r="CJ24" i="9" a="1"/>
  <c r="BE24" i="9" a="1"/>
  <c r="BF24" i="9" a="1"/>
  <c r="BF24" i="9" l="1"/>
  <c r="BE24" i="9"/>
  <c r="CI24" i="9"/>
  <c r="CJ24" i="9"/>
  <c r="H24" i="9"/>
  <c r="W24" i="9"/>
  <c r="CG24" i="9" a="1"/>
  <c r="BC24" i="9" a="1"/>
  <c r="CH24" i="9" a="1"/>
  <c r="BD24" i="9" a="1"/>
  <c r="CG24" i="9" l="1"/>
  <c r="CH24" i="9"/>
  <c r="BD24" i="9"/>
  <c r="BC24" i="9"/>
  <c r="V24" i="9"/>
  <c r="G24" i="9"/>
  <c r="BA24" i="9" a="1"/>
  <c r="BB24" i="9" a="1"/>
  <c r="CE24" i="9" a="1"/>
  <c r="CF24" i="9" a="1"/>
  <c r="BB24" i="9" l="1"/>
  <c r="BA24" i="9"/>
  <c r="CF24" i="9"/>
  <c r="CE24" i="9"/>
  <c r="F24" i="9"/>
  <c r="U24" i="9"/>
  <c r="AZ24" i="9" a="1"/>
  <c r="CD24" i="9" a="1"/>
  <c r="CC24" i="9" a="1"/>
  <c r="AY24" i="9" a="1"/>
  <c r="CD24" i="9" l="1"/>
  <c r="CC24" i="9"/>
  <c r="AZ24" i="9"/>
  <c r="AY24" i="9"/>
  <c r="T24" i="9"/>
  <c r="E24" i="9"/>
  <c r="CA24" i="9" a="1"/>
  <c r="CB24" i="9" a="1"/>
  <c r="AX24" i="9" a="1"/>
  <c r="AW24" i="9" a="1"/>
  <c r="AX24" i="9" l="1"/>
  <c r="AW24" i="9"/>
  <c r="CA24" i="9"/>
  <c r="CB24" i="9"/>
  <c r="D24" i="9"/>
  <c r="AI25" i="9"/>
  <c r="AV24" i="9" a="1"/>
  <c r="AU24" i="9" a="1"/>
  <c r="DF25" i="9" a="1"/>
  <c r="DE25" i="9" a="1"/>
  <c r="DF25" i="9" l="1"/>
  <c r="DE25" i="9"/>
  <c r="AV24" i="9"/>
  <c r="AU24" i="9"/>
  <c r="AH25" i="9"/>
  <c r="S25" i="9" a="1"/>
  <c r="S25" i="9" s="1"/>
  <c r="BZ25" i="9" a="1"/>
  <c r="DC25" i="9" a="1"/>
  <c r="DD25" i="9" a="1"/>
  <c r="BY25" i="9" a="1"/>
  <c r="DD25" i="9" l="1"/>
  <c r="DC25" i="9"/>
  <c r="AI58" i="9"/>
  <c r="BY25" i="9"/>
  <c r="BZ25" i="9"/>
  <c r="R25" i="9"/>
  <c r="AG25" i="9"/>
  <c r="BX25" i="9" a="1"/>
  <c r="BW25" i="9" a="1"/>
  <c r="DA25" i="9" a="1"/>
  <c r="DB25" i="9" a="1"/>
  <c r="DA25" i="9" l="1"/>
  <c r="DB25" i="9"/>
  <c r="BX25" i="9"/>
  <c r="BW25" i="9"/>
  <c r="AF25" i="9"/>
  <c r="Q25" i="9"/>
  <c r="CY25" i="9" a="1"/>
  <c r="BU25" i="9" a="1"/>
  <c r="BV25" i="9" a="1"/>
  <c r="CZ25" i="9" a="1"/>
  <c r="CY25" i="9" l="1"/>
  <c r="CZ25" i="9"/>
  <c r="BV25" i="9"/>
  <c r="BU25" i="9"/>
  <c r="P25" i="9"/>
  <c r="AE25" i="9"/>
  <c r="BT25" i="9" a="1"/>
  <c r="CW25" i="9" a="1"/>
  <c r="CX25" i="9" a="1"/>
  <c r="BS25" i="9" a="1"/>
  <c r="CW25" i="9" l="1"/>
  <c r="CX25" i="9"/>
  <c r="BT25" i="9"/>
  <c r="BS25" i="9"/>
  <c r="AD25" i="9"/>
  <c r="O25" i="9"/>
  <c r="BR25" i="9" a="1"/>
  <c r="CV25" i="9" a="1"/>
  <c r="CU25" i="9" a="1"/>
  <c r="BQ25" i="9" a="1"/>
  <c r="CV25" i="9" l="1"/>
  <c r="CU25" i="9"/>
  <c r="BQ25" i="9"/>
  <c r="BR25" i="9"/>
  <c r="N25" i="9"/>
  <c r="AC25" i="9"/>
  <c r="BO25" i="9" a="1"/>
  <c r="CT25" i="9" a="1"/>
  <c r="BP25" i="9" a="1"/>
  <c r="CS25" i="9" a="1"/>
  <c r="CS25" i="9" l="1"/>
  <c r="CT25" i="9"/>
  <c r="BP25" i="9"/>
  <c r="BO25" i="9"/>
  <c r="AB25" i="9"/>
  <c r="M25" i="9"/>
  <c r="CR25" i="9" a="1"/>
  <c r="CQ25" i="9" a="1"/>
  <c r="BM25" i="9" a="1"/>
  <c r="BN25" i="9" a="1"/>
  <c r="BN25" i="9" l="1"/>
  <c r="BM25" i="9"/>
  <c r="CR25" i="9"/>
  <c r="CQ25" i="9"/>
  <c r="L25" i="9"/>
  <c r="AA25" i="9"/>
  <c r="CP25" i="9" a="1"/>
  <c r="BL25" i="9" a="1"/>
  <c r="CO25" i="9" a="1"/>
  <c r="BK25" i="9" a="1"/>
  <c r="CO25" i="9" l="1"/>
  <c r="CP25" i="9"/>
  <c r="BL25" i="9"/>
  <c r="BK25" i="9"/>
  <c r="Z25" i="9"/>
  <c r="K25" i="9"/>
  <c r="BI25" i="9" a="1"/>
  <c r="BJ25" i="9" a="1"/>
  <c r="CM25" i="9" a="1"/>
  <c r="CN25" i="9" a="1"/>
  <c r="BI25" i="9" l="1"/>
  <c r="BJ25" i="9"/>
  <c r="CN25" i="9"/>
  <c r="CM25" i="9"/>
  <c r="J25" i="9"/>
  <c r="Y25" i="9"/>
  <c r="BH25" i="9" a="1"/>
  <c r="CL25" i="9" a="1"/>
  <c r="BG25" i="9" a="1"/>
  <c r="CK25" i="9" a="1"/>
  <c r="CL25" i="9" l="1"/>
  <c r="CK25" i="9"/>
  <c r="BH25" i="9"/>
  <c r="BG25" i="9"/>
  <c r="X25" i="9"/>
  <c r="I25" i="9"/>
  <c r="CJ25" i="9" a="1"/>
  <c r="BF25" i="9" a="1"/>
  <c r="BE25" i="9" a="1"/>
  <c r="CI25" i="9" a="1"/>
  <c r="BF25" i="9" l="1"/>
  <c r="BE25" i="9"/>
  <c r="CJ25" i="9"/>
  <c r="CI25" i="9"/>
  <c r="H25" i="9"/>
  <c r="W25" i="9"/>
  <c r="BC25" i="9" a="1"/>
  <c r="CH25" i="9" a="1"/>
  <c r="BD25" i="9" a="1"/>
  <c r="CG25" i="9" a="1"/>
  <c r="CG25" i="9" l="1"/>
  <c r="CH25" i="9"/>
  <c r="BD25" i="9"/>
  <c r="BC25" i="9"/>
  <c r="V25" i="9"/>
  <c r="G25" i="9"/>
  <c r="CE25" i="9" a="1"/>
  <c r="BB25" i="9" a="1"/>
  <c r="BA25" i="9" a="1"/>
  <c r="CF25" i="9" a="1"/>
  <c r="BA25" i="9" l="1"/>
  <c r="BB25" i="9"/>
  <c r="CF25" i="9"/>
  <c r="CE25" i="9"/>
  <c r="F25" i="9"/>
  <c r="U25" i="9"/>
  <c r="CC25" i="9" a="1"/>
  <c r="CD25" i="9" a="1"/>
  <c r="AZ25" i="9" a="1"/>
  <c r="AY25" i="9" a="1"/>
  <c r="CD25" i="9" l="1"/>
  <c r="CC25" i="9"/>
  <c r="AZ25" i="9"/>
  <c r="AY25" i="9"/>
  <c r="T25" i="9"/>
  <c r="E25" i="9"/>
  <c r="AW25" i="9" a="1"/>
  <c r="AX25" i="9" a="1"/>
  <c r="CB25" i="9" a="1"/>
  <c r="CA25" i="9" a="1"/>
  <c r="AX25" i="9" l="1"/>
  <c r="AW25" i="9"/>
  <c r="CB25" i="9"/>
  <c r="CA25" i="9"/>
  <c r="D25" i="9"/>
  <c r="AI26" i="9"/>
  <c r="AV25" i="9" a="1"/>
  <c r="DF26" i="9" a="1"/>
  <c r="DE26" i="9" a="1"/>
  <c r="AU25" i="9" a="1"/>
  <c r="DE26" i="9" l="1"/>
  <c r="DF26" i="9"/>
  <c r="AV25" i="9"/>
  <c r="AU25" i="9"/>
  <c r="AH26" i="9"/>
  <c r="S26" i="9" a="1"/>
  <c r="S26" i="9" s="1"/>
  <c r="DD26" i="9" a="1"/>
  <c r="BZ26" i="9" a="1"/>
  <c r="BY26" i="9" a="1"/>
  <c r="DC26" i="9" a="1"/>
  <c r="DC26" i="9" l="1"/>
  <c r="DD26" i="9"/>
  <c r="AI59" i="9"/>
  <c r="BZ26" i="9"/>
  <c r="BY26" i="9"/>
  <c r="R26" i="9"/>
  <c r="AG26" i="9"/>
  <c r="BW26" i="9" a="1"/>
  <c r="DB26" i="9" a="1"/>
  <c r="BX26" i="9" a="1"/>
  <c r="DA26" i="9" a="1"/>
  <c r="DB26" i="9" l="1"/>
  <c r="DA26" i="9"/>
  <c r="BW26" i="9"/>
  <c r="BX26" i="9"/>
  <c r="AF26" i="9"/>
  <c r="Q26" i="9"/>
  <c r="CY26" i="9" a="1"/>
  <c r="BU26" i="9" a="1"/>
  <c r="BV26" i="9" a="1"/>
  <c r="CZ26" i="9" a="1"/>
  <c r="CY26" i="9" l="1"/>
  <c r="CZ26" i="9"/>
  <c r="BV26" i="9"/>
  <c r="BU26" i="9"/>
  <c r="P26" i="9"/>
  <c r="AE26" i="9"/>
  <c r="CX26" i="9" a="1"/>
  <c r="BS26" i="9" a="1"/>
  <c r="BT26" i="9" a="1"/>
  <c r="CW26" i="9" a="1"/>
  <c r="CX26" i="9" l="1"/>
  <c r="CW26" i="9"/>
  <c r="BT26" i="9"/>
  <c r="BS26" i="9"/>
  <c r="AD26" i="9"/>
  <c r="O26" i="9"/>
  <c r="CV26" i="9" a="1"/>
  <c r="CU26" i="9" a="1"/>
  <c r="BR26" i="9" a="1"/>
  <c r="BQ26" i="9" a="1"/>
  <c r="CV26" i="9" l="1"/>
  <c r="CU26" i="9"/>
  <c r="BR26" i="9"/>
  <c r="BQ26" i="9"/>
  <c r="N26" i="9"/>
  <c r="AC26" i="9"/>
  <c r="BO26" i="9" a="1"/>
  <c r="CS26" i="9" a="1"/>
  <c r="CT26" i="9" a="1"/>
  <c r="BP26" i="9" a="1"/>
  <c r="CT26" i="9" l="1"/>
  <c r="CS26" i="9"/>
  <c r="BO26" i="9"/>
  <c r="BP26" i="9"/>
  <c r="AB26" i="9"/>
  <c r="M26" i="9"/>
  <c r="BM26" i="9" a="1"/>
  <c r="CQ26" i="9" a="1"/>
  <c r="CR26" i="9" a="1"/>
  <c r="BN26" i="9" a="1"/>
  <c r="BN26" i="9" l="1"/>
  <c r="BM26" i="9"/>
  <c r="CR26" i="9"/>
  <c r="CQ26" i="9"/>
  <c r="L26" i="9"/>
  <c r="AA26" i="9"/>
  <c r="CO26" i="9" a="1"/>
  <c r="BK26" i="9" a="1"/>
  <c r="CP26" i="9" a="1"/>
  <c r="BL26" i="9" a="1"/>
  <c r="CP26" i="9" l="1"/>
  <c r="CO26" i="9"/>
  <c r="BL26" i="9"/>
  <c r="BK26" i="9"/>
  <c r="Z26" i="9"/>
  <c r="K26" i="9"/>
  <c r="BI26" i="9" a="1"/>
  <c r="BJ26" i="9" a="1"/>
  <c r="CN26" i="9" a="1"/>
  <c r="CM26" i="9" a="1"/>
  <c r="BJ26" i="9" l="1"/>
  <c r="BI26" i="9"/>
  <c r="CM26" i="9"/>
  <c r="CN26" i="9"/>
  <c r="J26" i="9"/>
  <c r="Y26" i="9"/>
  <c r="CK26" i="9" a="1"/>
  <c r="CL26" i="9" a="1"/>
  <c r="BG26" i="9" a="1"/>
  <c r="BH26" i="9" a="1"/>
  <c r="CL26" i="9" l="1"/>
  <c r="CK26" i="9"/>
  <c r="BG26" i="9"/>
  <c r="BH26" i="9"/>
  <c r="X26" i="9"/>
  <c r="I26" i="9"/>
  <c r="BF26" i="9" a="1"/>
  <c r="CJ26" i="9" a="1"/>
  <c r="BE26" i="9" a="1"/>
  <c r="CI26" i="9" a="1"/>
  <c r="BF26" i="9" l="1"/>
  <c r="BE26" i="9"/>
  <c r="CJ26" i="9"/>
  <c r="CI26" i="9"/>
  <c r="H26" i="9"/>
  <c r="W26" i="9"/>
  <c r="CH26" i="9" a="1"/>
  <c r="CG26" i="9" a="1"/>
  <c r="BD26" i="9" a="1"/>
  <c r="BC26" i="9" a="1"/>
  <c r="CH26" i="9" l="1"/>
  <c r="CG26" i="9"/>
  <c r="BD26" i="9"/>
  <c r="BC26" i="9"/>
  <c r="V26" i="9"/>
  <c r="G26" i="9"/>
  <c r="CF26" i="9" a="1"/>
  <c r="BA26" i="9" a="1"/>
  <c r="CE26" i="9" a="1"/>
  <c r="BB26" i="9" a="1"/>
  <c r="BB26" i="9" l="1"/>
  <c r="BA26" i="9"/>
  <c r="CE26" i="9"/>
  <c r="CF26" i="9"/>
  <c r="F26" i="9"/>
  <c r="U26" i="9"/>
  <c r="CD26" i="9" a="1"/>
  <c r="AY26" i="9" a="1"/>
  <c r="CC26" i="9" a="1"/>
  <c r="AZ26" i="9" a="1"/>
  <c r="CD26" i="9" l="1"/>
  <c r="CC26" i="9"/>
  <c r="AY26" i="9"/>
  <c r="AZ26" i="9"/>
  <c r="T26" i="9"/>
  <c r="E26" i="9"/>
  <c r="CA26" i="9" a="1"/>
  <c r="CB26" i="9" a="1"/>
  <c r="AW26" i="9" a="1"/>
  <c r="AX26" i="9" a="1"/>
  <c r="AX26" i="9" l="1"/>
  <c r="AW26" i="9"/>
  <c r="CB26" i="9"/>
  <c r="CA26" i="9"/>
  <c r="D26" i="9"/>
  <c r="AI27" i="9"/>
  <c r="DF27" i="9" a="1"/>
  <c r="AU26" i="9" a="1"/>
  <c r="AV26" i="9" a="1"/>
  <c r="DE27" i="9" a="1"/>
  <c r="DE27" i="9" l="1"/>
  <c r="DF27" i="9"/>
  <c r="AV26" i="9"/>
  <c r="AU26" i="9"/>
  <c r="AH27" i="9"/>
  <c r="S27" i="9" a="1"/>
  <c r="S27" i="9" s="1"/>
  <c r="BY27" i="9" a="1"/>
  <c r="BZ27" i="9" a="1"/>
  <c r="DC27" i="9" a="1"/>
  <c r="DD27" i="9" a="1"/>
  <c r="DD27" i="9" l="1"/>
  <c r="DC27" i="9"/>
  <c r="AI60" i="9"/>
  <c r="BZ27" i="9"/>
  <c r="BY27" i="9"/>
  <c r="R27" i="9"/>
  <c r="AG27" i="9"/>
  <c r="BX27" i="9" a="1"/>
  <c r="BW27" i="9" a="1"/>
  <c r="DA27" i="9" a="1"/>
  <c r="DB27" i="9" a="1"/>
  <c r="DB27" i="9" l="1"/>
  <c r="DA27" i="9"/>
  <c r="BW27" i="9"/>
  <c r="BX27" i="9"/>
  <c r="AF27" i="9"/>
  <c r="Q27" i="9"/>
  <c r="CZ27" i="9" a="1"/>
  <c r="BU27" i="9" a="1"/>
  <c r="BV27" i="9" a="1"/>
  <c r="CY27" i="9" a="1"/>
  <c r="CZ27" i="9" l="1"/>
  <c r="CY27" i="9"/>
  <c r="BV27" i="9"/>
  <c r="BU27" i="9"/>
  <c r="P27" i="9"/>
  <c r="AE27" i="9"/>
  <c r="BT27" i="9" a="1"/>
  <c r="BS27" i="9" a="1"/>
  <c r="CX27" i="9" a="1"/>
  <c r="CW27" i="9" a="1"/>
  <c r="CW27" i="9" l="1"/>
  <c r="CX27" i="9"/>
  <c r="BT27" i="9"/>
  <c r="BS27" i="9"/>
  <c r="AD27" i="9"/>
  <c r="O27" i="9"/>
  <c r="CV27" i="9" a="1"/>
  <c r="BQ27" i="9" a="1"/>
  <c r="BR27" i="9" a="1"/>
  <c r="CU27" i="9" a="1"/>
  <c r="CV27" i="9" l="1"/>
  <c r="CU27" i="9"/>
  <c r="BR27" i="9"/>
  <c r="BQ27" i="9"/>
  <c r="N27" i="9"/>
  <c r="AC27" i="9"/>
  <c r="CT27" i="9" a="1"/>
  <c r="CS27" i="9" a="1"/>
  <c r="BP27" i="9" a="1"/>
  <c r="BO27" i="9" a="1"/>
  <c r="CS27" i="9" l="1"/>
  <c r="CT27" i="9"/>
  <c r="BP27" i="9"/>
  <c r="BO27" i="9"/>
  <c r="AB27" i="9"/>
  <c r="M27" i="9"/>
  <c r="CQ27" i="9" a="1"/>
  <c r="CR27" i="9" a="1"/>
  <c r="BM27" i="9" a="1"/>
  <c r="BN27" i="9" a="1"/>
  <c r="BM27" i="9" l="1"/>
  <c r="BN27" i="9"/>
  <c r="CQ27" i="9"/>
  <c r="CR27" i="9"/>
  <c r="L27" i="9"/>
  <c r="AA27" i="9"/>
  <c r="BL27" i="9" a="1"/>
  <c r="BK27" i="9" a="1"/>
  <c r="CO27" i="9" a="1"/>
  <c r="CP27" i="9" a="1"/>
  <c r="CO27" i="9" l="1"/>
  <c r="CP27" i="9"/>
  <c r="BL27" i="9"/>
  <c r="BK27" i="9"/>
  <c r="Z27" i="9"/>
  <c r="K27" i="9"/>
  <c r="BJ27" i="9" a="1"/>
  <c r="BI27" i="9" a="1"/>
  <c r="CN27" i="9" a="1"/>
  <c r="CM27" i="9" a="1"/>
  <c r="BJ27" i="9" l="1"/>
  <c r="BI27" i="9"/>
  <c r="CM27" i="9"/>
  <c r="CN27" i="9"/>
  <c r="J27" i="9"/>
  <c r="Y27" i="9"/>
  <c r="CL27" i="9" a="1"/>
  <c r="CK27" i="9" a="1"/>
  <c r="BH27" i="9" a="1"/>
  <c r="BG27" i="9" a="1"/>
  <c r="CK27" i="9" l="1"/>
  <c r="CL27" i="9"/>
  <c r="BH27" i="9"/>
  <c r="BG27" i="9"/>
  <c r="X27" i="9"/>
  <c r="I27" i="9"/>
  <c r="CI27" i="9" a="1"/>
  <c r="CJ27" i="9" a="1"/>
  <c r="BE27" i="9" a="1"/>
  <c r="BF27" i="9" a="1"/>
  <c r="BF27" i="9" l="1"/>
  <c r="BE27" i="9"/>
  <c r="CI27" i="9"/>
  <c r="CJ27" i="9"/>
  <c r="H27" i="9"/>
  <c r="W27" i="9"/>
  <c r="BD27" i="9" a="1"/>
  <c r="BC27" i="9" a="1"/>
  <c r="CH27" i="9" a="1"/>
  <c r="CG27" i="9" a="1"/>
  <c r="CG27" i="9" l="1"/>
  <c r="CH27" i="9"/>
  <c r="BD27" i="9"/>
  <c r="BC27" i="9"/>
  <c r="V27" i="9"/>
  <c r="G27" i="9"/>
  <c r="BA27" i="9" a="1"/>
  <c r="CF27" i="9" a="1"/>
  <c r="CE27" i="9" a="1"/>
  <c r="BB27" i="9" a="1"/>
  <c r="BB27" i="9" l="1"/>
  <c r="BA27" i="9"/>
  <c r="CE27" i="9"/>
  <c r="CF27" i="9"/>
  <c r="F27" i="9"/>
  <c r="U27" i="9"/>
  <c r="AZ27" i="9" a="1"/>
  <c r="AY27" i="9" a="1"/>
  <c r="CC27" i="9" a="1"/>
  <c r="CD27" i="9" a="1"/>
  <c r="CD27" i="9" l="1"/>
  <c r="CC27" i="9"/>
  <c r="AZ27" i="9"/>
  <c r="AY27" i="9"/>
  <c r="T27" i="9"/>
  <c r="E27" i="9"/>
  <c r="AW27" i="9" a="1"/>
  <c r="CB27" i="9" a="1"/>
  <c r="AX27" i="9" a="1"/>
  <c r="CA27" i="9" a="1"/>
  <c r="AW27" i="9" l="1"/>
  <c r="AX27" i="9"/>
  <c r="CA27" i="9"/>
  <c r="CB27" i="9"/>
  <c r="D27" i="9"/>
  <c r="AI28" i="9"/>
  <c r="DF28" i="9" a="1"/>
  <c r="AU27" i="9" a="1"/>
  <c r="AV27" i="9" a="1"/>
  <c r="DE28" i="9" a="1"/>
  <c r="DF28" i="9" l="1"/>
  <c r="DE28" i="9"/>
  <c r="AV27" i="9"/>
  <c r="AU27" i="9"/>
  <c r="AH28" i="9"/>
  <c r="S28" i="9" a="1"/>
  <c r="S28" i="9" s="1"/>
  <c r="DC28" i="9" a="1"/>
  <c r="DD28" i="9" a="1"/>
  <c r="BZ28" i="9" a="1"/>
  <c r="BY28" i="9" a="1"/>
  <c r="DD28" i="9" l="1"/>
  <c r="DC28" i="9"/>
  <c r="AI61" i="9"/>
  <c r="BZ28" i="9"/>
  <c r="BY28" i="9"/>
  <c r="R28" i="9"/>
  <c r="AG28" i="9"/>
  <c r="BW28" i="9" a="1"/>
  <c r="DA28" i="9" a="1"/>
  <c r="BX28" i="9" a="1"/>
  <c r="DB28" i="9" a="1"/>
  <c r="DB28" i="9" l="1"/>
  <c r="DA28" i="9"/>
  <c r="BX28" i="9"/>
  <c r="BW28" i="9"/>
  <c r="AF28" i="9"/>
  <c r="Q28" i="9"/>
  <c r="BV28" i="9" a="1"/>
  <c r="CY28" i="9" a="1"/>
  <c r="BU28" i="9" a="1"/>
  <c r="CZ28" i="9" a="1"/>
  <c r="CZ28" i="9" l="1"/>
  <c r="CY28" i="9"/>
  <c r="BV28" i="9"/>
  <c r="BU28" i="9"/>
  <c r="P28" i="9"/>
  <c r="AE28" i="9"/>
  <c r="CW28" i="9" a="1"/>
  <c r="BS28" i="9" a="1"/>
  <c r="BT28" i="9" a="1"/>
  <c r="CX28" i="9" a="1"/>
  <c r="CX28" i="9" l="1"/>
  <c r="CW28" i="9"/>
  <c r="BT28" i="9"/>
  <c r="BS28" i="9"/>
  <c r="AD28" i="9"/>
  <c r="O28" i="9"/>
  <c r="CU28" i="9" a="1"/>
  <c r="BR28" i="9" a="1"/>
  <c r="CV28" i="9" a="1"/>
  <c r="BQ28" i="9" a="1"/>
  <c r="CU28" i="9" l="1"/>
  <c r="CV28" i="9"/>
  <c r="BR28" i="9"/>
  <c r="BQ28" i="9"/>
  <c r="N28" i="9"/>
  <c r="AC28" i="9"/>
  <c r="BP28" i="9" a="1"/>
  <c r="CS28" i="9" a="1"/>
  <c r="CT28" i="9" a="1"/>
  <c r="BO28" i="9" a="1"/>
  <c r="CT28" i="9" l="1"/>
  <c r="CS28" i="9"/>
  <c r="BP28" i="9"/>
  <c r="BO28" i="9"/>
  <c r="AB28" i="9"/>
  <c r="M28" i="9"/>
  <c r="BM28" i="9" a="1"/>
  <c r="CR28" i="9" a="1"/>
  <c r="CQ28" i="9" a="1"/>
  <c r="BN28" i="9" a="1"/>
  <c r="BN28" i="9" l="1"/>
  <c r="BM28" i="9"/>
  <c r="CR28" i="9"/>
  <c r="CQ28" i="9"/>
  <c r="L28" i="9"/>
  <c r="AA28" i="9"/>
  <c r="BL28" i="9" a="1"/>
  <c r="CP28" i="9" a="1"/>
  <c r="CO28" i="9" a="1"/>
  <c r="BK28" i="9" a="1"/>
  <c r="CP28" i="9" l="1"/>
  <c r="CO28" i="9"/>
  <c r="BL28" i="9"/>
  <c r="BK28" i="9"/>
  <c r="Z28" i="9"/>
  <c r="K28" i="9"/>
  <c r="BJ28" i="9" a="1"/>
  <c r="CM28" i="9" a="1"/>
  <c r="CN28" i="9" a="1"/>
  <c r="BI28" i="9" a="1"/>
  <c r="BJ28" i="9" l="1"/>
  <c r="BI28" i="9"/>
  <c r="CN28" i="9"/>
  <c r="CM28" i="9"/>
  <c r="J28" i="9"/>
  <c r="Y28" i="9"/>
  <c r="BH28" i="9" a="1"/>
  <c r="CL28" i="9" a="1"/>
  <c r="BG28" i="9" a="1"/>
  <c r="CK28" i="9" a="1"/>
  <c r="CL28" i="9" l="1"/>
  <c r="CK28" i="9"/>
  <c r="BH28" i="9"/>
  <c r="BG28" i="9"/>
  <c r="X28" i="9"/>
  <c r="I28" i="9"/>
  <c r="CJ28" i="9" a="1"/>
  <c r="BF28" i="9" a="1"/>
  <c r="BE28" i="9" a="1"/>
  <c r="CI28" i="9" a="1"/>
  <c r="BF28" i="9" l="1"/>
  <c r="BE28" i="9"/>
  <c r="CJ28" i="9"/>
  <c r="CI28" i="9"/>
  <c r="H28" i="9"/>
  <c r="W28" i="9"/>
  <c r="CG28" i="9" a="1"/>
  <c r="BC28" i="9" a="1"/>
  <c r="BD28" i="9" a="1"/>
  <c r="CH28" i="9" a="1"/>
  <c r="CH28" i="9" l="1"/>
  <c r="CG28" i="9"/>
  <c r="BC28" i="9"/>
  <c r="BD28" i="9"/>
  <c r="V28" i="9"/>
  <c r="G28" i="9"/>
  <c r="BB28" i="9" a="1"/>
  <c r="BA28" i="9" a="1"/>
  <c r="CF28" i="9" a="1"/>
  <c r="CE28" i="9" a="1"/>
  <c r="BA28" i="9" l="1"/>
  <c r="BB28" i="9"/>
  <c r="CF28" i="9"/>
  <c r="CE28" i="9"/>
  <c r="F28" i="9"/>
  <c r="U28" i="9"/>
  <c r="AZ28" i="9" a="1"/>
  <c r="CD28" i="9" a="1"/>
  <c r="CC28" i="9" a="1"/>
  <c r="AY28" i="9" a="1"/>
  <c r="CD28" i="9" l="1"/>
  <c r="CC28" i="9"/>
  <c r="AY28" i="9"/>
  <c r="AZ28" i="9"/>
  <c r="T28" i="9"/>
  <c r="E28" i="9"/>
  <c r="CB28" i="9" a="1"/>
  <c r="CA28" i="9" a="1"/>
  <c r="AW28" i="9" a="1"/>
  <c r="AX28" i="9" a="1"/>
  <c r="AW28" i="9" l="1"/>
  <c r="AX28" i="9"/>
  <c r="CB28" i="9"/>
  <c r="CA28" i="9"/>
  <c r="D28" i="9"/>
  <c r="AI29" i="9"/>
  <c r="DE29" i="9" a="1"/>
  <c r="DF29" i="9" a="1"/>
  <c r="AU28" i="9" a="1"/>
  <c r="AV28" i="9" a="1"/>
  <c r="DE29" i="9" l="1"/>
  <c r="DF29" i="9"/>
  <c r="AU28" i="9"/>
  <c r="AV28" i="9"/>
  <c r="AH29" i="9"/>
  <c r="S29" i="9" a="1"/>
  <c r="S29" i="9" s="1"/>
  <c r="BY29" i="9" a="1"/>
  <c r="DC29" i="9" a="1"/>
  <c r="DD29" i="9" a="1"/>
  <c r="BZ29" i="9" a="1"/>
  <c r="DC29" i="9" l="1"/>
  <c r="DD29" i="9"/>
  <c r="AI62" i="9"/>
  <c r="BZ29" i="9"/>
  <c r="BY29" i="9"/>
  <c r="R29" i="9"/>
  <c r="AG29" i="9"/>
  <c r="BX29" i="9" a="1"/>
  <c r="DB29" i="9" a="1"/>
  <c r="DA29" i="9" a="1"/>
  <c r="BW29" i="9" a="1"/>
  <c r="DA29" i="9" l="1"/>
  <c r="DB29" i="9"/>
  <c r="BX29" i="9"/>
  <c r="BW29" i="9"/>
  <c r="AF29" i="9"/>
  <c r="Q29" i="9"/>
  <c r="BV29" i="9" a="1"/>
  <c r="CY29" i="9" a="1"/>
  <c r="CZ29" i="9" a="1"/>
  <c r="BU29" i="9" a="1"/>
  <c r="CZ29" i="9" l="1"/>
  <c r="CY29" i="9"/>
  <c r="BV29" i="9"/>
  <c r="BU29" i="9"/>
  <c r="P29" i="9"/>
  <c r="AE29" i="9"/>
  <c r="BT29" i="9" a="1"/>
  <c r="CW29" i="9" a="1"/>
  <c r="CX29" i="9" a="1"/>
  <c r="BS29" i="9" a="1"/>
  <c r="CW29" i="9" l="1"/>
  <c r="CX29" i="9"/>
  <c r="BT29" i="9"/>
  <c r="BS29" i="9"/>
  <c r="AD29" i="9"/>
  <c r="O29" i="9"/>
  <c r="BR29" i="9" a="1"/>
  <c r="BQ29" i="9" a="1"/>
  <c r="CU29" i="9" a="1"/>
  <c r="CV29" i="9" a="1"/>
  <c r="CU29" i="9" l="1"/>
  <c r="CV29" i="9"/>
  <c r="BR29" i="9"/>
  <c r="BQ29" i="9"/>
  <c r="N29" i="9"/>
  <c r="AC29" i="9"/>
  <c r="CT29" i="9" a="1"/>
  <c r="CS29" i="9" a="1"/>
  <c r="BP29" i="9" a="1"/>
  <c r="BO29" i="9" a="1"/>
  <c r="CS29" i="9" l="1"/>
  <c r="CT29" i="9"/>
  <c r="BP29" i="9"/>
  <c r="BO29" i="9"/>
  <c r="AB29" i="9"/>
  <c r="M29" i="9"/>
  <c r="BN29" i="9" a="1"/>
  <c r="BM29" i="9" a="1"/>
  <c r="CR29" i="9" a="1"/>
  <c r="CQ29" i="9" a="1"/>
  <c r="BN29" i="9" l="1"/>
  <c r="BM29" i="9"/>
  <c r="CR29" i="9"/>
  <c r="CQ29" i="9"/>
  <c r="L29" i="9"/>
  <c r="AA29" i="9"/>
  <c r="BK29" i="9" a="1"/>
  <c r="BL29" i="9" a="1"/>
  <c r="CP29" i="9" a="1"/>
  <c r="CO29" i="9" a="1"/>
  <c r="CP29" i="9" l="1"/>
  <c r="CO29" i="9"/>
  <c r="BL29" i="9"/>
  <c r="BK29" i="9"/>
  <c r="Z29" i="9"/>
  <c r="K29" i="9"/>
  <c r="CM29" i="9" a="1"/>
  <c r="BI29" i="9" a="1"/>
  <c r="CN29" i="9" a="1"/>
  <c r="BJ29" i="9" a="1"/>
  <c r="BJ29" i="9" l="1"/>
  <c r="BI29" i="9"/>
  <c r="CN29" i="9"/>
  <c r="CM29" i="9"/>
  <c r="J29" i="9"/>
  <c r="Y29" i="9"/>
  <c r="CL29" i="9" a="1"/>
  <c r="CK29" i="9" a="1"/>
  <c r="BH29" i="9" a="1"/>
  <c r="BG29" i="9" a="1"/>
  <c r="CL29" i="9" l="1"/>
  <c r="CK29" i="9"/>
  <c r="BH29" i="9"/>
  <c r="BG29" i="9"/>
  <c r="X29" i="9"/>
  <c r="I29" i="9"/>
  <c r="CJ29" i="9" a="1"/>
  <c r="BF29" i="9" a="1"/>
  <c r="BE29" i="9" a="1"/>
  <c r="CI29" i="9" a="1"/>
  <c r="BF29" i="9" l="1"/>
  <c r="BE29" i="9"/>
  <c r="CJ29" i="9"/>
  <c r="CI29" i="9"/>
  <c r="H29" i="9"/>
  <c r="W29" i="9"/>
  <c r="CH29" i="9" a="1"/>
  <c r="BC29" i="9" a="1"/>
  <c r="BD29" i="9" a="1"/>
  <c r="CG29" i="9" a="1"/>
  <c r="CH29" i="9" l="1"/>
  <c r="CG29" i="9"/>
  <c r="BD29" i="9"/>
  <c r="BC29" i="9"/>
  <c r="V29" i="9"/>
  <c r="G29" i="9"/>
  <c r="BA29" i="9" a="1"/>
  <c r="CE29" i="9" a="1"/>
  <c r="BB29" i="9" a="1"/>
  <c r="CF29" i="9" a="1"/>
  <c r="BB29" i="9" l="1"/>
  <c r="BA29" i="9"/>
  <c r="CF29" i="9"/>
  <c r="CE29" i="9"/>
  <c r="F29" i="9"/>
  <c r="U29" i="9"/>
  <c r="AY29" i="9" a="1"/>
  <c r="AZ29" i="9" a="1"/>
  <c r="CC29" i="9" a="1"/>
  <c r="CD29" i="9" a="1"/>
  <c r="CD29" i="9" l="1"/>
  <c r="CC29" i="9"/>
  <c r="AZ29" i="9"/>
  <c r="AY29" i="9"/>
  <c r="T29" i="9"/>
  <c r="E29" i="9"/>
  <c r="AX29" i="9" a="1"/>
  <c r="AW29" i="9" a="1"/>
  <c r="CB29" i="9" a="1"/>
  <c r="CA29" i="9" a="1"/>
  <c r="AX29" i="9" l="1"/>
  <c r="AW29" i="9"/>
  <c r="CB29" i="9"/>
  <c r="CA29" i="9"/>
  <c r="D29" i="9"/>
  <c r="AI30" i="9"/>
  <c r="AU29" i="9" a="1"/>
  <c r="DF30" i="9" a="1"/>
  <c r="AV29" i="9" a="1"/>
  <c r="DE30" i="9" a="1"/>
  <c r="DF30" i="9" l="1"/>
  <c r="DE30" i="9"/>
  <c r="AV29" i="9"/>
  <c r="AU29" i="9"/>
  <c r="AH30" i="9"/>
  <c r="S30" i="9" a="1"/>
  <c r="S30" i="9" s="1"/>
  <c r="DD30" i="9" a="1"/>
  <c r="DC30" i="9" a="1"/>
  <c r="BZ30" i="9" a="1"/>
  <c r="BY30" i="9" a="1"/>
  <c r="DC30" i="9" l="1"/>
  <c r="DD30" i="9"/>
  <c r="AI63" i="9"/>
  <c r="BZ30" i="9"/>
  <c r="BY30" i="9"/>
  <c r="R30" i="9"/>
  <c r="AG30" i="9"/>
  <c r="BW30" i="9" a="1"/>
  <c r="DA30" i="9" a="1"/>
  <c r="DB30" i="9" a="1"/>
  <c r="BX30" i="9" a="1"/>
  <c r="DA30" i="9" l="1"/>
  <c r="DB30" i="9"/>
  <c r="BX30" i="9"/>
  <c r="BW30" i="9"/>
  <c r="AF30" i="9"/>
  <c r="Q30" i="9"/>
  <c r="BU30" i="9" a="1"/>
  <c r="BV30" i="9" a="1"/>
  <c r="CZ30" i="9" a="1"/>
  <c r="CY30" i="9" a="1"/>
  <c r="CY30" i="9" l="1"/>
  <c r="CZ30" i="9"/>
  <c r="BV30" i="9"/>
  <c r="BU30" i="9"/>
  <c r="P30" i="9"/>
  <c r="AE30" i="9"/>
  <c r="BT30" i="9" a="1"/>
  <c r="BS30" i="9" a="1"/>
  <c r="CW30" i="9" a="1"/>
  <c r="CX30" i="9" a="1"/>
  <c r="CW30" i="9" l="1"/>
  <c r="CX30" i="9"/>
  <c r="BT30" i="9"/>
  <c r="BS30" i="9"/>
  <c r="AD30" i="9"/>
  <c r="O30" i="9"/>
  <c r="CU30" i="9" a="1"/>
  <c r="BQ30" i="9" a="1"/>
  <c r="CV30" i="9" a="1"/>
  <c r="BR30" i="9" a="1"/>
  <c r="CV30" i="9" l="1"/>
  <c r="CU30" i="9"/>
  <c r="BR30" i="9"/>
  <c r="BQ30" i="9"/>
  <c r="N30" i="9"/>
  <c r="AC30" i="9"/>
  <c r="CT30" i="9" a="1"/>
  <c r="BP30" i="9" a="1"/>
  <c r="BO30" i="9" a="1"/>
  <c r="CS30" i="9" a="1"/>
  <c r="CT30" i="9" l="1"/>
  <c r="CS30" i="9"/>
  <c r="BP30" i="9"/>
  <c r="BO30" i="9"/>
  <c r="AB30" i="9"/>
  <c r="M30" i="9"/>
  <c r="CR30" i="9" a="1"/>
  <c r="CQ30" i="9" a="1"/>
  <c r="BM30" i="9" a="1"/>
  <c r="BN30" i="9" a="1"/>
  <c r="BN30" i="9" l="1"/>
  <c r="BM30" i="9"/>
  <c r="CR30" i="9"/>
  <c r="CQ30" i="9"/>
  <c r="L30" i="9"/>
  <c r="AA30" i="9"/>
  <c r="BL30" i="9" a="1"/>
  <c r="BK30" i="9" a="1"/>
  <c r="CP30" i="9" a="1"/>
  <c r="CO30" i="9" a="1"/>
  <c r="CP30" i="9" l="1"/>
  <c r="CO30" i="9"/>
  <c r="BL30" i="9"/>
  <c r="BK30" i="9"/>
  <c r="Z30" i="9"/>
  <c r="K30" i="9"/>
  <c r="CM30" i="9" a="1"/>
  <c r="BJ30" i="9" a="1"/>
  <c r="BI30" i="9" a="1"/>
  <c r="CN30" i="9" a="1"/>
  <c r="BJ30" i="9" l="1"/>
  <c r="BI30" i="9"/>
  <c r="CN30" i="9"/>
  <c r="CM30" i="9"/>
  <c r="J30" i="9"/>
  <c r="Y30" i="9"/>
  <c r="CL30" i="9" a="1"/>
  <c r="BG30" i="9" a="1"/>
  <c r="CK30" i="9" a="1"/>
  <c r="BH30" i="9" a="1"/>
  <c r="CL30" i="9" l="1"/>
  <c r="CK30" i="9"/>
  <c r="BH30" i="9"/>
  <c r="BG30" i="9"/>
  <c r="X30" i="9"/>
  <c r="I30" i="9"/>
  <c r="CJ30" i="9" a="1"/>
  <c r="BF30" i="9" a="1"/>
  <c r="CI30" i="9" a="1"/>
  <c r="BE30" i="9" a="1"/>
  <c r="BF30" i="9" l="1"/>
  <c r="BE30" i="9"/>
  <c r="CJ30" i="9"/>
  <c r="CI30" i="9"/>
  <c r="H30" i="9"/>
  <c r="W30" i="9"/>
  <c r="BD30" i="9" a="1"/>
  <c r="BC30" i="9" a="1"/>
  <c r="CH30" i="9" a="1"/>
  <c r="CG30" i="9" a="1"/>
  <c r="CH30" i="9" l="1"/>
  <c r="CG30" i="9"/>
  <c r="BD30" i="9"/>
  <c r="BC30" i="9"/>
  <c r="V30" i="9"/>
  <c r="G30" i="9"/>
  <c r="CE30" i="9" a="1"/>
  <c r="BB30" i="9" a="1"/>
  <c r="CF30" i="9" a="1"/>
  <c r="BA30" i="9" a="1"/>
  <c r="BB30" i="9" l="1"/>
  <c r="BA30" i="9"/>
  <c r="CF30" i="9"/>
  <c r="CE30" i="9"/>
  <c r="F30" i="9"/>
  <c r="U30" i="9"/>
  <c r="CC30" i="9" a="1"/>
  <c r="CD30" i="9" a="1"/>
  <c r="AZ30" i="9" a="1"/>
  <c r="AY30" i="9" a="1"/>
  <c r="CD30" i="9" l="1"/>
  <c r="CC30" i="9"/>
  <c r="AZ30" i="9"/>
  <c r="AY30" i="9"/>
  <c r="T30" i="9"/>
  <c r="E30" i="9"/>
  <c r="CA30" i="9" a="1"/>
  <c r="CB30" i="9" a="1"/>
  <c r="AX30" i="9" a="1"/>
  <c r="AW30" i="9" a="1"/>
  <c r="AX30" i="9" l="1"/>
  <c r="AW30" i="9"/>
  <c r="CB30" i="9"/>
  <c r="CA30" i="9"/>
  <c r="D30" i="9"/>
  <c r="AI31" i="9"/>
  <c r="AV30" i="9" a="1"/>
  <c r="AU30" i="9" a="1"/>
  <c r="DE31" i="9" a="1"/>
  <c r="DF31" i="9" a="1"/>
  <c r="DE31" i="9" l="1"/>
  <c r="DF31" i="9"/>
  <c r="AV30" i="9"/>
  <c r="AU30" i="9"/>
  <c r="AH31" i="9"/>
  <c r="S31" i="9" a="1"/>
  <c r="S31" i="9" s="1"/>
  <c r="BZ31" i="9" a="1"/>
  <c r="BY31" i="9" a="1"/>
  <c r="DC31" i="9" a="1"/>
  <c r="DD31" i="9" a="1"/>
  <c r="DC31" i="9" l="1"/>
  <c r="DD31" i="9"/>
  <c r="AI64" i="9"/>
  <c r="BZ31" i="9"/>
  <c r="BY31" i="9"/>
  <c r="R31" i="9"/>
  <c r="AG31" i="9"/>
  <c r="BX31" i="9" a="1"/>
  <c r="DB31" i="9" a="1"/>
  <c r="BW31" i="9" a="1"/>
  <c r="DA31" i="9" a="1"/>
  <c r="DB31" i="9" l="1"/>
  <c r="DA31" i="9"/>
  <c r="BX31" i="9"/>
  <c r="BW31" i="9"/>
  <c r="AF31" i="9"/>
  <c r="Q31" i="9"/>
  <c r="CZ31" i="9" a="1"/>
  <c r="CY31" i="9" a="1"/>
  <c r="BU31" i="9" a="1"/>
  <c r="BV31" i="9" a="1"/>
  <c r="CZ31" i="9" l="1"/>
  <c r="CY31" i="9"/>
  <c r="BV31" i="9"/>
  <c r="BU31" i="9"/>
  <c r="P31" i="9"/>
  <c r="AE31" i="9"/>
  <c r="CW31" i="9" a="1"/>
  <c r="BS31" i="9" a="1"/>
  <c r="CX31" i="9" a="1"/>
  <c r="BT31" i="9" a="1"/>
  <c r="CX31" i="9" l="1"/>
  <c r="CW31" i="9"/>
  <c r="BT31" i="9"/>
  <c r="BS31" i="9"/>
  <c r="AD31" i="9"/>
  <c r="O31" i="9"/>
  <c r="CV31" i="9" a="1"/>
  <c r="CU31" i="9" a="1"/>
  <c r="BQ31" i="9" a="1"/>
  <c r="BR31" i="9" a="1"/>
  <c r="CU31" i="9" l="1"/>
  <c r="CV31" i="9"/>
  <c r="BR31" i="9"/>
  <c r="BQ31" i="9"/>
  <c r="N31" i="9"/>
  <c r="AC31" i="9"/>
  <c r="BP31" i="9" a="1"/>
  <c r="CT31" i="9" a="1"/>
  <c r="CS31" i="9" a="1"/>
  <c r="BO31" i="9" a="1"/>
  <c r="CS31" i="9" l="1"/>
  <c r="CT31" i="9"/>
  <c r="BP31" i="9"/>
  <c r="BO31" i="9"/>
  <c r="AB31" i="9"/>
  <c r="M31" i="9"/>
  <c r="CQ31" i="9" a="1"/>
  <c r="BN31" i="9" a="1"/>
  <c r="BM31" i="9" a="1"/>
  <c r="CR31" i="9" a="1"/>
  <c r="BN31" i="9" l="1"/>
  <c r="BM31" i="9"/>
  <c r="CR31" i="9"/>
  <c r="CQ31" i="9"/>
  <c r="L31" i="9"/>
  <c r="AA31" i="9"/>
  <c r="CO31" i="9" a="1"/>
  <c r="BK31" i="9" a="1"/>
  <c r="CP31" i="9" a="1"/>
  <c r="BL31" i="9" a="1"/>
  <c r="CP31" i="9" l="1"/>
  <c r="CO31" i="9"/>
  <c r="BL31" i="9"/>
  <c r="BK31" i="9"/>
  <c r="Z31" i="9"/>
  <c r="K31" i="9"/>
  <c r="CM31" i="9" a="1"/>
  <c r="BJ31" i="9" a="1"/>
  <c r="CN31" i="9" a="1"/>
  <c r="BI31" i="9" a="1"/>
  <c r="BJ31" i="9" l="1"/>
  <c r="BI31" i="9"/>
  <c r="CN31" i="9"/>
  <c r="CM31" i="9"/>
  <c r="J31" i="9"/>
  <c r="Y31" i="9"/>
  <c r="BH31" i="9" a="1"/>
  <c r="CK31" i="9" a="1"/>
  <c r="BG31" i="9" a="1"/>
  <c r="CL31" i="9" a="1"/>
  <c r="CL31" i="9" l="1"/>
  <c r="CK31" i="9"/>
  <c r="BH31" i="9"/>
  <c r="BG31" i="9"/>
  <c r="X31" i="9"/>
  <c r="I31" i="9"/>
  <c r="CI31" i="9" a="1"/>
  <c r="CJ31" i="9" a="1"/>
  <c r="BE31" i="9" a="1"/>
  <c r="BF31" i="9" a="1"/>
  <c r="BF31" i="9" l="1"/>
  <c r="BE31" i="9"/>
  <c r="CJ31" i="9"/>
  <c r="CI31" i="9"/>
  <c r="H31" i="9"/>
  <c r="W31" i="9"/>
  <c r="BC31" i="9" a="1"/>
  <c r="CG31" i="9" a="1"/>
  <c r="BD31" i="9" a="1"/>
  <c r="CH31" i="9" a="1"/>
  <c r="CH31" i="9" l="1"/>
  <c r="CG31" i="9"/>
  <c r="BD31" i="9"/>
  <c r="BC31" i="9"/>
  <c r="V31" i="9"/>
  <c r="G31" i="9"/>
  <c r="CF31" i="9" a="1"/>
  <c r="CE31" i="9" a="1"/>
  <c r="BA31" i="9" a="1"/>
  <c r="BB31" i="9" a="1"/>
  <c r="BB31" i="9" l="1"/>
  <c r="BA31" i="9"/>
  <c r="CF31" i="9"/>
  <c r="CE31" i="9"/>
  <c r="F31" i="9"/>
  <c r="U31" i="9"/>
  <c r="CD31" i="9" a="1"/>
  <c r="AY31" i="9" a="1"/>
  <c r="CC31" i="9" a="1"/>
  <c r="AZ31" i="9" a="1"/>
  <c r="CD31" i="9" l="1"/>
  <c r="CC31" i="9"/>
  <c r="AZ31" i="9"/>
  <c r="AY31" i="9"/>
  <c r="T31" i="9"/>
  <c r="E31" i="9"/>
  <c r="AW31" i="9" a="1"/>
  <c r="CA31" i="9" a="1"/>
  <c r="AX31" i="9" a="1"/>
  <c r="CB31" i="9" a="1"/>
  <c r="AX31" i="9" l="1"/>
  <c r="AW31" i="9"/>
  <c r="CB31" i="9"/>
  <c r="CA31" i="9"/>
  <c r="D31" i="9"/>
  <c r="AI32" i="9"/>
  <c r="AU31" i="9" a="1"/>
  <c r="DE32" i="9" a="1"/>
  <c r="DF32" i="9" a="1"/>
  <c r="AV31" i="9" a="1"/>
  <c r="DF32" i="9" l="1"/>
  <c r="DE32" i="9"/>
  <c r="AV31" i="9"/>
  <c r="AU31" i="9"/>
  <c r="AH32" i="9"/>
  <c r="S32" i="9" a="1"/>
  <c r="S32" i="9" s="1"/>
  <c r="DC32" i="9" a="1"/>
  <c r="BZ32" i="9" a="1"/>
  <c r="DD32" i="9" a="1"/>
  <c r="BY32" i="9" a="1"/>
  <c r="DD32" i="9" l="1"/>
  <c r="DC32" i="9"/>
  <c r="AI65" i="9"/>
  <c r="BZ32" i="9"/>
  <c r="BY32" i="9"/>
  <c r="R32" i="9"/>
  <c r="AG32" i="9"/>
  <c r="DB32" i="9" a="1"/>
  <c r="BX32" i="9" a="1"/>
  <c r="BW32" i="9" a="1"/>
  <c r="DA32" i="9" a="1"/>
  <c r="DA32" i="9" l="1"/>
  <c r="DB32" i="9"/>
  <c r="BX32" i="9"/>
  <c r="BW32" i="9"/>
  <c r="AF32" i="9"/>
  <c r="Q32" i="9"/>
  <c r="BU32" i="9" a="1"/>
  <c r="CZ32" i="9" a="1"/>
  <c r="CY32" i="9" a="1"/>
  <c r="BV32" i="9" a="1"/>
  <c r="CZ32" i="9" l="1"/>
  <c r="CY32" i="9"/>
  <c r="BV32" i="9"/>
  <c r="BU32" i="9"/>
  <c r="P32" i="9"/>
  <c r="AE32" i="9"/>
  <c r="CW32" i="9" a="1"/>
  <c r="BS32" i="9" a="1"/>
  <c r="CX32" i="9" a="1"/>
  <c r="BT32" i="9" a="1"/>
  <c r="CW32" i="9" l="1"/>
  <c r="CX32" i="9"/>
  <c r="BT32" i="9"/>
  <c r="BS32" i="9"/>
  <c r="AD32" i="9"/>
  <c r="O32" i="9"/>
  <c r="BR32" i="9" a="1"/>
  <c r="CU32" i="9" a="1"/>
  <c r="BQ32" i="9" a="1"/>
  <c r="CV32" i="9" a="1"/>
  <c r="CV32" i="9" l="1"/>
  <c r="CU32" i="9"/>
  <c r="BR32" i="9"/>
  <c r="BQ32" i="9"/>
  <c r="N32" i="9"/>
  <c r="AC32" i="9"/>
  <c r="CT32" i="9" a="1"/>
  <c r="BO32" i="9" a="1"/>
  <c r="CS32" i="9" a="1"/>
  <c r="BP32" i="9" a="1"/>
  <c r="CS32" i="9" l="1"/>
  <c r="CT32" i="9"/>
  <c r="BP32" i="9"/>
  <c r="BO32" i="9"/>
  <c r="AB32" i="9"/>
  <c r="M32" i="9"/>
  <c r="CQ32" i="9" a="1"/>
  <c r="CR32" i="9" a="1"/>
  <c r="BM32" i="9" a="1"/>
  <c r="BN32" i="9" a="1"/>
  <c r="BN32" i="9" l="1"/>
  <c r="BM32" i="9"/>
  <c r="CR32" i="9"/>
  <c r="CQ32" i="9"/>
  <c r="L32" i="9"/>
  <c r="AA32" i="9"/>
  <c r="BK32" i="9" a="1"/>
  <c r="CP32" i="9" a="1"/>
  <c r="CO32" i="9" a="1"/>
  <c r="BL32" i="9" a="1"/>
  <c r="CP32" i="9" l="1"/>
  <c r="CO32" i="9"/>
  <c r="BL32" i="9"/>
  <c r="BK32" i="9"/>
  <c r="Z32" i="9"/>
  <c r="K32" i="9"/>
  <c r="CN32" i="9" a="1"/>
  <c r="BI32" i="9" a="1"/>
  <c r="CM32" i="9" a="1"/>
  <c r="BJ32" i="9" a="1"/>
  <c r="BJ32" i="9" l="1"/>
  <c r="BI32" i="9"/>
  <c r="CN32" i="9"/>
  <c r="CM32" i="9"/>
  <c r="J32" i="9"/>
  <c r="Y32" i="9"/>
  <c r="CK32" i="9" a="1"/>
  <c r="BH32" i="9" a="1"/>
  <c r="CL32" i="9" a="1"/>
  <c r="BG32" i="9" a="1"/>
  <c r="CL32" i="9" l="1"/>
  <c r="CK32" i="9"/>
  <c r="BH32" i="9"/>
  <c r="BG32" i="9"/>
  <c r="X32" i="9"/>
  <c r="I32" i="9"/>
  <c r="CI32" i="9" a="1"/>
  <c r="BF32" i="9" a="1"/>
  <c r="CJ32" i="9" a="1"/>
  <c r="BE32" i="9" a="1"/>
  <c r="BF32" i="9" l="1"/>
  <c r="BE32" i="9"/>
  <c r="CJ32" i="9"/>
  <c r="CI32" i="9"/>
  <c r="H32" i="9"/>
  <c r="W32" i="9"/>
  <c r="CH32" i="9" a="1"/>
  <c r="CG32" i="9" a="1"/>
  <c r="BC32" i="9" a="1"/>
  <c r="BD32" i="9" a="1"/>
  <c r="CH32" i="9" l="1"/>
  <c r="CG32" i="9"/>
  <c r="BD32" i="9"/>
  <c r="BC32" i="9"/>
  <c r="V32" i="9"/>
  <c r="G32" i="9"/>
  <c r="CF32" i="9" a="1"/>
  <c r="BA32" i="9" a="1"/>
  <c r="CE32" i="9" a="1"/>
  <c r="BB32" i="9" a="1"/>
  <c r="BB32" i="9" l="1"/>
  <c r="BA32" i="9"/>
  <c r="CF32" i="9"/>
  <c r="CE32" i="9"/>
  <c r="F32" i="9"/>
  <c r="U32" i="9"/>
  <c r="CD32" i="9" a="1"/>
  <c r="AZ32" i="9" a="1"/>
  <c r="AY32" i="9" a="1"/>
  <c r="CC32" i="9" a="1"/>
  <c r="CD32" i="9" l="1"/>
  <c r="CC32" i="9"/>
  <c r="AZ32" i="9"/>
  <c r="AY32" i="9"/>
  <c r="T32" i="9"/>
  <c r="E32" i="9"/>
  <c r="CA32" i="9" a="1"/>
  <c r="CB32" i="9" a="1"/>
  <c r="AX32" i="9" a="1"/>
  <c r="AW32" i="9" a="1"/>
  <c r="AX32" i="9" l="1"/>
  <c r="AW32" i="9"/>
  <c r="CB32" i="9"/>
  <c r="CA32" i="9"/>
  <c r="D32" i="9"/>
  <c r="AI33" i="9"/>
  <c r="AU32" i="9" a="1"/>
  <c r="DE33" i="9" a="1"/>
  <c r="AV32" i="9" a="1"/>
  <c r="DF33" i="9" a="1"/>
  <c r="DE33" i="9" l="1"/>
  <c r="DF33" i="9"/>
  <c r="AV32" i="9"/>
  <c r="AU32" i="9"/>
  <c r="AH33" i="9"/>
  <c r="S33" i="9" a="1"/>
  <c r="S33" i="9" s="1"/>
  <c r="BY33" i="9" a="1"/>
  <c r="BZ33" i="9" a="1"/>
  <c r="DC33" i="9" a="1"/>
  <c r="DD33" i="9" a="1"/>
  <c r="DC33" i="9" l="1"/>
  <c r="DD33" i="9"/>
  <c r="AI66" i="9"/>
  <c r="BZ33" i="9"/>
  <c r="BY33" i="9"/>
  <c r="R33" i="9"/>
  <c r="AG33" i="9"/>
  <c r="BW33" i="9" a="1"/>
  <c r="DA33" i="9" a="1"/>
  <c r="DB33" i="9" a="1"/>
  <c r="BX33" i="9" a="1"/>
  <c r="DA33" i="9" l="1"/>
  <c r="DB33" i="9"/>
  <c r="BX33" i="9"/>
  <c r="BW33" i="9"/>
  <c r="AF33" i="9"/>
  <c r="Q33" i="9"/>
  <c r="CY33" i="9" a="1"/>
  <c r="CZ33" i="9" a="1"/>
  <c r="BU33" i="9" a="1"/>
  <c r="BV33" i="9" a="1"/>
  <c r="CZ33" i="9" l="1"/>
  <c r="CY33" i="9"/>
  <c r="BV33" i="9"/>
  <c r="BU33" i="9"/>
  <c r="P33" i="9"/>
  <c r="AE33" i="9"/>
  <c r="CW33" i="9" a="1"/>
  <c r="BT33" i="9" a="1"/>
  <c r="BS33" i="9" a="1"/>
  <c r="CX33" i="9" a="1"/>
  <c r="CW33" i="9" l="1"/>
  <c r="CX33" i="9"/>
  <c r="BT33" i="9"/>
  <c r="BS33" i="9"/>
  <c r="AD33" i="9"/>
  <c r="O33" i="9"/>
  <c r="BQ33" i="9" a="1"/>
  <c r="CU33" i="9" a="1"/>
  <c r="CV33" i="9" a="1"/>
  <c r="BR33" i="9" a="1"/>
  <c r="CV33" i="9" l="1"/>
  <c r="CU33" i="9"/>
  <c r="BR33" i="9"/>
  <c r="BQ33" i="9"/>
  <c r="N33" i="9"/>
  <c r="AC33" i="9"/>
  <c r="BO33" i="9" a="1"/>
  <c r="CT33" i="9" a="1"/>
  <c r="CS33" i="9" a="1"/>
  <c r="BP33" i="9" a="1"/>
  <c r="CS33" i="9" l="1"/>
  <c r="CT33" i="9"/>
  <c r="BP33" i="9"/>
  <c r="BO33" i="9"/>
  <c r="AB33" i="9"/>
  <c r="M33" i="9"/>
  <c r="BN33" i="9" a="1"/>
  <c r="BM33" i="9" a="1"/>
  <c r="CQ33" i="9" a="1"/>
  <c r="CR33" i="9" a="1"/>
  <c r="BN33" i="9" l="1"/>
  <c r="BM33" i="9"/>
  <c r="CR33" i="9"/>
  <c r="CQ33" i="9"/>
  <c r="L33" i="9"/>
  <c r="AA33" i="9"/>
  <c r="CO33" i="9" a="1"/>
  <c r="BK33" i="9" a="1"/>
  <c r="BL33" i="9" a="1"/>
  <c r="CP33" i="9" a="1"/>
  <c r="CP33" i="9" l="1"/>
  <c r="CO33" i="9"/>
  <c r="BL33" i="9"/>
  <c r="BK33" i="9"/>
  <c r="Z33" i="9"/>
  <c r="K33" i="9"/>
  <c r="CM33" i="9" a="1"/>
  <c r="CN33" i="9" a="1"/>
  <c r="BI33" i="9" a="1"/>
  <c r="BJ33" i="9" a="1"/>
  <c r="BJ33" i="9" l="1"/>
  <c r="BI33" i="9"/>
  <c r="CN33" i="9"/>
  <c r="CM33" i="9"/>
  <c r="J33" i="9"/>
  <c r="Y33" i="9"/>
  <c r="CL33" i="9" a="1"/>
  <c r="CK33" i="9" a="1"/>
  <c r="BG33" i="9" a="1"/>
  <c r="BH33" i="9" a="1"/>
  <c r="CK33" i="9" l="1"/>
  <c r="CL33" i="9"/>
  <c r="BH33" i="9"/>
  <c r="BG33" i="9"/>
  <c r="X33" i="9"/>
  <c r="I33" i="9"/>
  <c r="CI33" i="9" a="1"/>
  <c r="BF33" i="9" a="1"/>
  <c r="BE33" i="9" a="1"/>
  <c r="CJ33" i="9" a="1"/>
  <c r="BF33" i="9" l="1"/>
  <c r="BE33" i="9"/>
  <c r="CJ33" i="9"/>
  <c r="CI33" i="9"/>
  <c r="H33" i="9"/>
  <c r="W33" i="9"/>
  <c r="CH33" i="9" a="1"/>
  <c r="BD33" i="9" a="1"/>
  <c r="CG33" i="9" a="1"/>
  <c r="BC33" i="9" a="1"/>
  <c r="CH33" i="9" l="1"/>
  <c r="CG33" i="9"/>
  <c r="BD33" i="9"/>
  <c r="BC33" i="9"/>
  <c r="V33" i="9"/>
  <c r="G33" i="9"/>
  <c r="CF33" i="9" a="1"/>
  <c r="BA33" i="9" a="1"/>
  <c r="BB33" i="9" a="1"/>
  <c r="CE33" i="9" a="1"/>
  <c r="BB33" i="9" l="1"/>
  <c r="BA33" i="9"/>
  <c r="CF33" i="9"/>
  <c r="CE33" i="9"/>
  <c r="F33" i="9"/>
  <c r="U33" i="9"/>
  <c r="AZ33" i="9" a="1"/>
  <c r="CD33" i="9" a="1"/>
  <c r="CC33" i="9" a="1"/>
  <c r="AY33" i="9" a="1"/>
  <c r="CD33" i="9" l="1"/>
  <c r="CC33" i="9"/>
  <c r="AZ33" i="9"/>
  <c r="AY33" i="9"/>
  <c r="T33" i="9"/>
  <c r="E33" i="9"/>
  <c r="CB33" i="9" a="1"/>
  <c r="CA33" i="9" a="1"/>
  <c r="AW33" i="9" a="1"/>
  <c r="AX33" i="9" a="1"/>
  <c r="AX33" i="9" l="1"/>
  <c r="AW33" i="9"/>
  <c r="CB33" i="9"/>
  <c r="CA33" i="9"/>
  <c r="D33" i="9"/>
  <c r="AI34" i="9"/>
  <c r="DE34" i="9" a="1"/>
  <c r="DF34" i="9" a="1"/>
  <c r="AU33" i="9" a="1"/>
  <c r="AV33" i="9" a="1"/>
  <c r="DF34" i="9" l="1"/>
  <c r="DE34" i="9"/>
  <c r="AV33" i="9"/>
  <c r="AU33" i="9"/>
  <c r="AH34" i="9"/>
  <c r="S34" i="9" a="1"/>
  <c r="S34" i="9" s="1"/>
  <c r="DD34" i="9" a="1"/>
  <c r="BY34" i="9" a="1"/>
  <c r="DC34" i="9" a="1"/>
  <c r="BZ34" i="9" a="1"/>
  <c r="DD34" i="9" l="1"/>
  <c r="DC34" i="9"/>
  <c r="AI67" i="9"/>
  <c r="AH65" i="9"/>
  <c r="AH63" i="9"/>
  <c r="AH66" i="9"/>
  <c r="AH64" i="9"/>
  <c r="BZ34" i="9"/>
  <c r="BY34" i="9"/>
  <c r="R34" i="9"/>
  <c r="AG34" i="9"/>
  <c r="DB34" i="9" a="1"/>
  <c r="BW34" i="9" a="1"/>
  <c r="BX34" i="9" a="1"/>
  <c r="DA34" i="9" a="1"/>
  <c r="DB34" i="9" l="1"/>
  <c r="DA34" i="9"/>
  <c r="AG65" i="9"/>
  <c r="AG66" i="9"/>
  <c r="AG64" i="9"/>
  <c r="AH67" i="9"/>
  <c r="BX34" i="9"/>
  <c r="BW34" i="9"/>
  <c r="AF34" i="9"/>
  <c r="Q34" i="9"/>
  <c r="BV34" i="9" a="1"/>
  <c r="CZ34" i="9" a="1"/>
  <c r="CY34" i="9" a="1"/>
  <c r="BU34" i="9" a="1"/>
  <c r="CZ34" i="9" l="1"/>
  <c r="CY34" i="9"/>
  <c r="AF65" i="9"/>
  <c r="AF66" i="9"/>
  <c r="AG67" i="9"/>
  <c r="BV34" i="9"/>
  <c r="BU34" i="9"/>
  <c r="P34" i="9"/>
  <c r="AE34" i="9"/>
  <c r="CX34" i="9" a="1"/>
  <c r="BT34" i="9" a="1"/>
  <c r="BS34" i="9" a="1"/>
  <c r="CW34" i="9" a="1"/>
  <c r="CX34" i="9" l="1"/>
  <c r="CW34" i="9"/>
  <c r="AE66" i="9"/>
  <c r="AF67" i="9"/>
  <c r="BT34" i="9"/>
  <c r="BS34" i="9"/>
  <c r="AD34" i="9"/>
  <c r="O34" i="9"/>
  <c r="CV34" i="9" a="1"/>
  <c r="BR34" i="9" a="1"/>
  <c r="CU34" i="9" a="1"/>
  <c r="BQ34" i="9" a="1"/>
  <c r="CV34" i="9" l="1"/>
  <c r="CU34" i="9"/>
  <c r="AE67" i="9"/>
  <c r="BR34" i="9"/>
  <c r="BQ34" i="9"/>
  <c r="N34" i="9"/>
  <c r="AC34" i="9"/>
  <c r="CT34" i="9" a="1"/>
  <c r="CS34" i="9" a="1"/>
  <c r="BO34" i="9" a="1"/>
  <c r="BP34" i="9" a="1"/>
  <c r="CT34" i="9" l="1"/>
  <c r="CS34" i="9"/>
  <c r="AD67" i="9"/>
  <c r="BP34" i="9"/>
  <c r="BO34" i="9"/>
  <c r="AB34" i="9"/>
  <c r="M34" i="9"/>
  <c r="BN34" i="9" a="1"/>
  <c r="BM34" i="9" a="1"/>
  <c r="CR34" i="9" a="1"/>
  <c r="CQ34" i="9" a="1"/>
  <c r="AC67" i="9" l="1"/>
  <c r="BN34" i="9"/>
  <c r="BM34" i="9"/>
  <c r="CR34" i="9"/>
  <c r="CQ34" i="9"/>
  <c r="L34" i="9"/>
  <c r="AA34" i="9"/>
  <c r="CO34" i="9" a="1"/>
  <c r="BL34" i="9" a="1"/>
  <c r="CP34" i="9" a="1"/>
  <c r="BK34" i="9" a="1"/>
  <c r="AB67" i="9" l="1"/>
  <c r="CP34" i="9"/>
  <c r="CO34" i="9"/>
  <c r="BL34" i="9"/>
  <c r="BK34" i="9"/>
  <c r="Z34" i="9"/>
  <c r="K34" i="9"/>
  <c r="BJ34" i="9" a="1"/>
  <c r="BI34" i="9" a="1"/>
  <c r="CN34" i="9" a="1"/>
  <c r="CM34" i="9" a="1"/>
  <c r="AA67" i="9" l="1"/>
  <c r="BJ34" i="9"/>
  <c r="BI34" i="9"/>
  <c r="CN34" i="9"/>
  <c r="CM34" i="9"/>
  <c r="J34" i="9"/>
  <c r="Y34" i="9"/>
  <c r="CK34" i="9" a="1"/>
  <c r="BG34" i="9" a="1"/>
  <c r="BH34" i="9" a="1"/>
  <c r="CL34" i="9" a="1"/>
  <c r="Z67" i="9" l="1"/>
  <c r="CL34" i="9"/>
  <c r="CK34" i="9"/>
  <c r="BH34" i="9"/>
  <c r="BG34" i="9"/>
  <c r="X34" i="9"/>
  <c r="I34" i="9"/>
  <c r="BE34" i="9" a="1"/>
  <c r="CI34" i="9" a="1"/>
  <c r="BF34" i="9" a="1"/>
  <c r="CJ34" i="9" a="1"/>
  <c r="Y67" i="9" l="1"/>
  <c r="BF34" i="9"/>
  <c r="BE34" i="9"/>
  <c r="CJ34" i="9"/>
  <c r="CI34" i="9"/>
  <c r="H34" i="9"/>
  <c r="W34" i="9"/>
  <c r="CH34" i="9" a="1"/>
  <c r="BD34" i="9" a="1"/>
  <c r="CG34" i="9" a="1"/>
  <c r="BC34" i="9" a="1"/>
  <c r="X67" i="9" l="1"/>
  <c r="CH34" i="9"/>
  <c r="CG34" i="9"/>
  <c r="BD34" i="9"/>
  <c r="BC34" i="9"/>
  <c r="V34" i="9"/>
  <c r="G34" i="9"/>
  <c r="BB34" i="9" a="1"/>
  <c r="CF34" i="9" a="1"/>
  <c r="BA34" i="9" a="1"/>
  <c r="CE34" i="9" a="1"/>
  <c r="W67" i="9" l="1"/>
  <c r="BB34" i="9"/>
  <c r="BA34" i="9"/>
  <c r="CF34" i="9"/>
  <c r="CE34" i="9"/>
  <c r="F34" i="9"/>
  <c r="U34" i="9"/>
  <c r="CD34" i="9" a="1"/>
  <c r="AZ34" i="9" a="1"/>
  <c r="AY34" i="9" a="1"/>
  <c r="CC34" i="9" a="1"/>
  <c r="V67" i="9" l="1"/>
  <c r="CD34" i="9"/>
  <c r="CC34" i="9"/>
  <c r="AZ34" i="9"/>
  <c r="AY34" i="9"/>
  <c r="T34" i="9"/>
  <c r="E34" i="9"/>
  <c r="CB34" i="9" a="1"/>
  <c r="AW34" i="9" a="1"/>
  <c r="CA34" i="9" a="1"/>
  <c r="AX34" i="9" a="1"/>
  <c r="U67" i="9" l="1"/>
  <c r="AX34" i="9"/>
  <c r="AW34" i="9"/>
  <c r="CB34" i="9"/>
  <c r="CA34" i="9"/>
  <c r="D34" i="9"/>
  <c r="AV34" i="9" a="1"/>
  <c r="AU34" i="9" a="1"/>
  <c r="H67" i="9" l="1"/>
  <c r="T67" i="9"/>
  <c r="F67" i="9"/>
  <c r="G67" i="9"/>
  <c r="E67" i="9"/>
  <c r="AV34" i="9"/>
  <c r="AU34" i="9"/>
  <c r="D67" i="9" l="1"/>
  <c r="AA43" i="9"/>
  <c r="AG43" i="9"/>
  <c r="W43" i="9"/>
  <c r="T43" i="9"/>
  <c r="Z43" i="9"/>
  <c r="AD43" i="9"/>
  <c r="R43" i="9"/>
  <c r="U43" i="9"/>
  <c r="P43" i="9"/>
  <c r="X43" i="9"/>
  <c r="V43" i="9"/>
  <c r="AB43" i="9"/>
  <c r="Q43" i="9"/>
  <c r="Y43" i="9"/>
  <c r="AC43" i="9"/>
  <c r="AF43" i="9"/>
  <c r="AE43" i="9"/>
  <c r="G43" i="9"/>
  <c r="I44" i="9"/>
  <c r="N43" i="9"/>
  <c r="H44" i="9"/>
  <c r="F43" i="9"/>
  <c r="I43" i="9"/>
  <c r="N44" i="9"/>
  <c r="E44" i="9"/>
  <c r="O43" i="9"/>
  <c r="J43" i="9"/>
  <c r="R44" i="9"/>
  <c r="M44" i="9"/>
  <c r="D44" i="9"/>
  <c r="T44" i="9"/>
  <c r="Q44" i="9"/>
  <c r="X44" i="9"/>
  <c r="P44" i="9"/>
  <c r="AA44" i="9"/>
  <c r="AB44" i="9"/>
  <c r="W44" i="9"/>
  <c r="U44" i="9"/>
  <c r="M43" i="9"/>
  <c r="G44" i="9"/>
  <c r="D43" i="9"/>
  <c r="V44" i="9"/>
  <c r="J44" i="9"/>
  <c r="K44" i="9"/>
  <c r="S44" i="9"/>
  <c r="L44" i="9"/>
  <c r="O44" i="9"/>
  <c r="F44" i="9"/>
  <c r="S43" i="9"/>
  <c r="AH43" i="9"/>
  <c r="H43" i="9"/>
  <c r="L43" i="9"/>
  <c r="Z44" i="9"/>
  <c r="Y44" i="9"/>
  <c r="K43" i="9"/>
  <c r="E43" i="9"/>
  <c r="AG44" i="9"/>
  <c r="H45" i="9"/>
  <c r="E45" i="9"/>
  <c r="R45" i="9"/>
  <c r="AD44" i="9"/>
  <c r="X45" i="9"/>
  <c r="U45" i="9"/>
  <c r="Y45" i="9"/>
  <c r="J45" i="9"/>
  <c r="AF44" i="9"/>
  <c r="L45" i="9"/>
  <c r="N45" i="9"/>
  <c r="V45" i="9"/>
  <c r="Z45" i="9"/>
  <c r="AH44" i="9"/>
  <c r="O45" i="9"/>
  <c r="M45" i="9"/>
  <c r="AA45" i="9"/>
  <c r="D45" i="9"/>
  <c r="AB45" i="9"/>
  <c r="I45" i="9"/>
  <c r="G45" i="9"/>
  <c r="T45" i="9"/>
  <c r="Q45" i="9"/>
  <c r="P45" i="9"/>
  <c r="AC44" i="9"/>
  <c r="K45" i="9"/>
  <c r="AE44" i="9"/>
  <c r="F45" i="9"/>
  <c r="W45" i="9"/>
  <c r="X46" i="9"/>
  <c r="E46" i="9"/>
  <c r="Y46" i="9"/>
  <c r="AG45" i="9"/>
  <c r="AC45" i="9"/>
  <c r="M46" i="9"/>
  <c r="S46" i="9"/>
  <c r="N46" i="9"/>
  <c r="F46" i="9"/>
  <c r="O46" i="9"/>
  <c r="K46" i="9"/>
  <c r="R46" i="9"/>
  <c r="W46" i="9"/>
  <c r="P46" i="9"/>
  <c r="D47" i="9"/>
  <c r="L46" i="9"/>
  <c r="J46" i="9"/>
  <c r="V46" i="9"/>
  <c r="T46" i="9"/>
  <c r="AD45" i="9"/>
  <c r="AA46" i="9"/>
  <c r="U46" i="9"/>
  <c r="Q46" i="9"/>
  <c r="AE45" i="9"/>
  <c r="Z46" i="9"/>
  <c r="S45" i="9"/>
  <c r="AH45" i="9"/>
  <c r="G46" i="9"/>
  <c r="H46" i="9"/>
  <c r="I46" i="9"/>
  <c r="AF45" i="9"/>
  <c r="AB46" i="9"/>
  <c r="AF46" i="9"/>
  <c r="O47" i="9"/>
  <c r="AA47" i="9"/>
  <c r="AH46" i="9"/>
  <c r="U47" i="9"/>
  <c r="Z47" i="9"/>
  <c r="D46" i="9"/>
  <c r="R47" i="9"/>
  <c r="S47" i="9"/>
  <c r="Q47" i="9"/>
  <c r="V47" i="9"/>
  <c r="I47" i="9"/>
  <c r="H47" i="9"/>
  <c r="AG46" i="9"/>
  <c r="F47" i="9"/>
  <c r="N47" i="9"/>
  <c r="AD46" i="9"/>
  <c r="X47" i="9"/>
  <c r="W47" i="9"/>
  <c r="L47" i="9"/>
  <c r="Y47" i="9"/>
  <c r="M47" i="9"/>
  <c r="AC46" i="9"/>
  <c r="K47" i="9"/>
  <c r="AE46" i="9"/>
  <c r="J47" i="9"/>
  <c r="T47" i="9"/>
  <c r="G47" i="9"/>
  <c r="AB47" i="9"/>
  <c r="P47" i="9"/>
  <c r="E47" i="9"/>
  <c r="J48" i="9"/>
  <c r="AH47" i="9"/>
  <c r="L48" i="9"/>
  <c r="T48" i="9"/>
  <c r="AB48" i="9"/>
  <c r="X48" i="9"/>
  <c r="Z48" i="9"/>
  <c r="N48" i="9"/>
  <c r="Y48" i="9"/>
  <c r="I48" i="9"/>
  <c r="S48" i="9"/>
  <c r="AF47" i="9"/>
  <c r="AE47" i="9"/>
  <c r="Q48" i="9"/>
  <c r="F48" i="9"/>
  <c r="W48" i="9"/>
  <c r="R48" i="9"/>
  <c r="AA48" i="9"/>
  <c r="V48" i="9"/>
  <c r="G48" i="9"/>
  <c r="P48" i="9"/>
  <c r="AD47" i="9"/>
  <c r="H48" i="9"/>
  <c r="U48" i="9"/>
  <c r="E48" i="9"/>
  <c r="AC47" i="9"/>
  <c r="AG47" i="9"/>
  <c r="M48" i="9"/>
  <c r="O48" i="9"/>
  <c r="K48" i="9"/>
  <c r="AH48" i="9"/>
  <c r="P49" i="9"/>
  <c r="T49" i="9"/>
  <c r="D48" i="9"/>
  <c r="G49" i="9"/>
  <c r="Q49" i="9"/>
  <c r="M49" i="9"/>
  <c r="F49" i="9"/>
  <c r="S49" i="9"/>
  <c r="AC48" i="9"/>
  <c r="AB49" i="9"/>
  <c r="AG48" i="9"/>
  <c r="AD48" i="9"/>
  <c r="R49" i="9"/>
  <c r="AA49" i="9"/>
  <c r="X49" i="9"/>
  <c r="H49" i="9"/>
  <c r="V49" i="9"/>
  <c r="W49" i="9"/>
  <c r="Y49" i="9"/>
  <c r="U49" i="9"/>
  <c r="L49" i="9"/>
  <c r="K49" i="9"/>
  <c r="O49" i="9"/>
  <c r="AF48" i="9"/>
  <c r="J49" i="9"/>
  <c r="E49" i="9"/>
  <c r="N49" i="9"/>
  <c r="Z49" i="9"/>
  <c r="I49" i="9"/>
  <c r="AE48" i="9"/>
  <c r="AE49" i="9"/>
  <c r="M50" i="9"/>
  <c r="F50" i="9"/>
  <c r="W50" i="9"/>
  <c r="U50" i="9"/>
  <c r="D49" i="9"/>
  <c r="G50" i="9"/>
  <c r="H50" i="9"/>
  <c r="AB50" i="9"/>
  <c r="I50" i="9"/>
  <c r="AD49" i="9"/>
  <c r="AG49" i="9"/>
  <c r="S50" i="9"/>
  <c r="E50" i="9"/>
  <c r="J50" i="9"/>
  <c r="V50" i="9"/>
  <c r="AC49" i="9"/>
  <c r="AF49" i="9"/>
  <c r="P50" i="9"/>
  <c r="R50" i="9"/>
  <c r="Z50" i="9"/>
  <c r="Y50" i="9"/>
  <c r="AA50" i="9"/>
  <c r="L50" i="9"/>
  <c r="O50" i="9"/>
  <c r="AH49" i="9"/>
  <c r="Q50" i="9"/>
  <c r="N50" i="9"/>
  <c r="K50" i="9"/>
  <c r="X50" i="9"/>
  <c r="T50" i="9"/>
  <c r="Q51" i="9"/>
  <c r="N51" i="9"/>
  <c r="E51" i="9"/>
  <c r="Y51" i="9"/>
  <c r="K51" i="9"/>
  <c r="AF50" i="9"/>
  <c r="Z51" i="9"/>
  <c r="M51" i="9"/>
  <c r="X51" i="9"/>
  <c r="D50" i="9"/>
  <c r="I51" i="9"/>
  <c r="AD50" i="9"/>
  <c r="S51" i="9"/>
  <c r="AB51" i="9"/>
  <c r="AA51" i="9"/>
  <c r="U51" i="9"/>
  <c r="L51" i="9"/>
  <c r="AE50" i="9"/>
  <c r="AC50" i="9"/>
  <c r="V51" i="9"/>
  <c r="R51" i="9"/>
  <c r="AH50" i="9"/>
  <c r="W51" i="9"/>
  <c r="AG50" i="9"/>
  <c r="H51" i="9"/>
  <c r="T51" i="9"/>
  <c r="P51" i="9"/>
  <c r="F51" i="9"/>
  <c r="O51" i="9"/>
  <c r="J51" i="9"/>
  <c r="G51" i="9"/>
  <c r="R52" i="9"/>
  <c r="S52" i="9"/>
  <c r="AB52" i="9"/>
  <c r="M52" i="9"/>
  <c r="X52" i="9"/>
  <c r="F52" i="9"/>
  <c r="I52" i="9"/>
  <c r="AD51" i="9"/>
  <c r="Q52" i="9"/>
  <c r="AC51" i="9"/>
  <c r="AG51" i="9"/>
  <c r="H52" i="9"/>
  <c r="T52" i="9"/>
  <c r="AH51" i="9"/>
  <c r="L52" i="9"/>
  <c r="G52" i="9"/>
  <c r="AE51" i="9"/>
  <c r="O52" i="9"/>
  <c r="E52" i="9"/>
  <c r="P52" i="9"/>
  <c r="Z52" i="9"/>
  <c r="W52" i="9"/>
  <c r="AA52" i="9"/>
  <c r="Y52" i="9"/>
  <c r="U52" i="9"/>
  <c r="K52" i="9"/>
  <c r="AF51" i="9"/>
  <c r="N52" i="9"/>
  <c r="J52" i="9"/>
  <c r="V52" i="9"/>
  <c r="D51" i="9"/>
  <c r="M53" i="9"/>
  <c r="AA53" i="9"/>
  <c r="AG52" i="9"/>
  <c r="D52" i="9"/>
  <c r="V53" i="9"/>
  <c r="F53" i="9"/>
  <c r="X53" i="9"/>
  <c r="H53" i="9"/>
  <c r="N53" i="9"/>
  <c r="U53" i="9"/>
  <c r="I53" i="9"/>
  <c r="T53" i="9"/>
  <c r="G53" i="9"/>
  <c r="AE52" i="9"/>
  <c r="J53" i="9"/>
  <c r="AB53" i="9"/>
  <c r="O53" i="9"/>
  <c r="R53" i="9"/>
  <c r="AF52" i="9"/>
  <c r="AH52" i="9"/>
  <c r="AC52" i="9"/>
  <c r="AD52" i="9"/>
  <c r="Q53" i="9"/>
  <c r="S53" i="9"/>
  <c r="D53" i="9"/>
  <c r="L53" i="9"/>
  <c r="Z53" i="9"/>
  <c r="E53" i="9"/>
  <c r="W53" i="9"/>
  <c r="P53" i="9"/>
  <c r="K53" i="9"/>
  <c r="Y53" i="9"/>
  <c r="P54" i="9"/>
  <c r="W54" i="9"/>
  <c r="E54" i="9"/>
  <c r="AH53" i="9"/>
  <c r="T54" i="9"/>
  <c r="O54" i="9"/>
  <c r="I54" i="9"/>
  <c r="Q54" i="9"/>
  <c r="AC53" i="9"/>
  <c r="L54" i="9"/>
  <c r="H54" i="9"/>
  <c r="U54" i="9"/>
  <c r="R54" i="9"/>
  <c r="K54" i="9"/>
  <c r="F54" i="9"/>
  <c r="Y54" i="9"/>
  <c r="AA54" i="9"/>
  <c r="N54" i="9"/>
  <c r="AD53" i="9"/>
  <c r="AB54" i="9"/>
  <c r="G54" i="9"/>
  <c r="X54" i="9"/>
  <c r="AG53" i="9"/>
  <c r="V54" i="9"/>
  <c r="AF53" i="9"/>
  <c r="M54" i="9"/>
  <c r="J54" i="9"/>
  <c r="AE53" i="9"/>
  <c r="S54" i="9"/>
  <c r="Z54" i="9"/>
  <c r="Q55" i="9"/>
  <c r="N55" i="9"/>
  <c r="J55" i="9"/>
  <c r="AB55" i="9"/>
  <c r="S55" i="9"/>
  <c r="AF54" i="9"/>
  <c r="M55" i="9"/>
  <c r="E55" i="9"/>
  <c r="L55" i="9"/>
  <c r="AH54" i="9"/>
  <c r="V55" i="9"/>
  <c r="K55" i="9"/>
  <c r="I55" i="9"/>
  <c r="Y55" i="9"/>
  <c r="AC54" i="9"/>
  <c r="AD54" i="9"/>
  <c r="T55" i="9"/>
  <c r="W55" i="9"/>
  <c r="X55" i="9"/>
  <c r="P55" i="9"/>
  <c r="H55" i="9"/>
  <c r="R55" i="9"/>
  <c r="G55" i="9"/>
  <c r="AA55" i="9"/>
  <c r="Z55" i="9"/>
  <c r="F55" i="9"/>
  <c r="O55" i="9"/>
  <c r="AG54" i="9"/>
  <c r="AE54" i="9"/>
  <c r="D54" i="9"/>
  <c r="U55" i="9"/>
  <c r="AF55" i="9"/>
  <c r="AA56" i="9"/>
  <c r="T56" i="9"/>
  <c r="AE55" i="9"/>
  <c r="M56" i="9"/>
  <c r="D55" i="9"/>
  <c r="P56" i="9"/>
  <c r="L56" i="9"/>
  <c r="AB56" i="9"/>
  <c r="I56" i="9"/>
  <c r="J56" i="9"/>
  <c r="F56" i="9"/>
  <c r="O56" i="9"/>
  <c r="W56" i="9"/>
  <c r="H56" i="9"/>
  <c r="N56" i="9"/>
  <c r="U56" i="9"/>
  <c r="AD55" i="9"/>
  <c r="AC55" i="9"/>
  <c r="Y56" i="9"/>
  <c r="K56" i="9"/>
  <c r="Z56" i="9"/>
  <c r="V56" i="9"/>
  <c r="X56" i="9"/>
  <c r="Q56" i="9"/>
  <c r="S56" i="9"/>
  <c r="AG55" i="9"/>
  <c r="R56" i="9"/>
  <c r="G56" i="9"/>
  <c r="E56" i="9"/>
  <c r="AH55" i="9"/>
  <c r="AE56" i="9"/>
  <c r="S57" i="9"/>
  <c r="AG56" i="9"/>
  <c r="M57" i="9"/>
  <c r="X57" i="9"/>
  <c r="G57" i="9"/>
  <c r="F57" i="9"/>
  <c r="E57" i="9"/>
  <c r="T57" i="9"/>
  <c r="AC56" i="9"/>
  <c r="K57" i="9"/>
  <c r="J57" i="9"/>
  <c r="P57" i="9"/>
  <c r="L57" i="9"/>
  <c r="D56" i="9"/>
  <c r="AH56" i="9"/>
  <c r="Z57" i="9"/>
  <c r="V57" i="9"/>
  <c r="Y57" i="9"/>
  <c r="H57" i="9"/>
  <c r="AA57" i="9"/>
  <c r="O57" i="9"/>
  <c r="I57" i="9"/>
  <c r="AB57" i="9"/>
  <c r="AD56" i="9"/>
  <c r="R57" i="9"/>
  <c r="U57" i="9"/>
  <c r="Q57" i="9"/>
  <c r="W57" i="9"/>
  <c r="N57" i="9"/>
  <c r="AF56" i="9"/>
  <c r="F58" i="9"/>
  <c r="R58" i="9"/>
  <c r="G58" i="9"/>
  <c r="I58" i="9"/>
  <c r="AE57" i="9"/>
  <c r="M58" i="9"/>
  <c r="S58" i="9"/>
  <c r="AH57" i="9"/>
  <c r="AF57" i="9"/>
  <c r="N58" i="9"/>
  <c r="D57" i="9"/>
  <c r="AA58" i="9"/>
  <c r="H58" i="9"/>
  <c r="K58" i="9"/>
  <c r="E58" i="9"/>
  <c r="T58" i="9"/>
  <c r="Z58" i="9"/>
  <c r="Y58" i="9"/>
  <c r="V58" i="9"/>
  <c r="O58" i="9"/>
  <c r="AG57" i="9"/>
  <c r="U58" i="9"/>
  <c r="AD57" i="9"/>
  <c r="AB58" i="9"/>
  <c r="P58" i="9"/>
  <c r="AC57" i="9"/>
  <c r="W58" i="9"/>
  <c r="X58" i="9"/>
  <c r="J58" i="9"/>
  <c r="L58" i="9"/>
  <c r="Q58" i="9"/>
  <c r="AA59" i="9"/>
  <c r="V59" i="9"/>
  <c r="G59" i="9"/>
  <c r="I59" i="9"/>
  <c r="R59" i="9"/>
  <c r="AB59" i="9"/>
  <c r="P59" i="9"/>
  <c r="W59" i="9"/>
  <c r="U59" i="9"/>
  <c r="AD58" i="9"/>
  <c r="T59" i="9"/>
  <c r="Q59" i="9"/>
  <c r="AE58" i="9"/>
  <c r="AF58" i="9"/>
  <c r="L59" i="9"/>
  <c r="D58" i="9"/>
  <c r="K59" i="9"/>
  <c r="E59" i="9"/>
  <c r="J59" i="9"/>
  <c r="AH58" i="9"/>
  <c r="S59" i="9"/>
  <c r="AC58" i="9"/>
  <c r="O59" i="9"/>
  <c r="H59" i="9"/>
  <c r="AG58" i="9"/>
  <c r="F59" i="9"/>
  <c r="M59" i="9"/>
  <c r="Z59" i="9"/>
  <c r="Y59" i="9"/>
  <c r="X59" i="9"/>
  <c r="N59" i="9"/>
  <c r="AC59" i="9"/>
  <c r="AB60" i="9"/>
  <c r="E60" i="9"/>
  <c r="U60" i="9"/>
  <c r="L60" i="9"/>
  <c r="I60" i="9"/>
  <c r="P60" i="9"/>
  <c r="AF59" i="9"/>
  <c r="V60" i="9"/>
  <c r="D59" i="9"/>
  <c r="K60" i="9"/>
  <c r="AH59" i="9"/>
  <c r="AA60" i="9"/>
  <c r="J60" i="9"/>
  <c r="H60" i="9"/>
  <c r="Z60" i="9"/>
  <c r="T60" i="9"/>
  <c r="N60" i="9"/>
  <c r="O60" i="9"/>
  <c r="AE59" i="9"/>
  <c r="AG59" i="9"/>
  <c r="Q60" i="9"/>
  <c r="AD59" i="9"/>
  <c r="F60" i="9"/>
  <c r="M60" i="9"/>
  <c r="X60" i="9"/>
  <c r="R60" i="9"/>
  <c r="Y60" i="9"/>
  <c r="S60" i="9"/>
  <c r="G60" i="9"/>
  <c r="W60" i="9"/>
  <c r="N61" i="9"/>
  <c r="AC60" i="9"/>
  <c r="V61" i="9"/>
  <c r="AH60" i="9"/>
  <c r="AD60" i="9"/>
  <c r="AA61" i="9"/>
  <c r="D61" i="9"/>
  <c r="R61" i="9"/>
  <c r="AF60" i="9"/>
  <c r="H61" i="9"/>
  <c r="Z61" i="9"/>
  <c r="AB61" i="9"/>
  <c r="I61" i="9"/>
  <c r="E61" i="9"/>
  <c r="K61" i="9"/>
  <c r="P61" i="9"/>
  <c r="AG60" i="9"/>
  <c r="O61" i="9"/>
  <c r="Q61" i="9"/>
  <c r="F61" i="9"/>
  <c r="G61" i="9"/>
  <c r="Y61" i="9"/>
  <c r="D60" i="9"/>
  <c r="M61" i="9"/>
  <c r="X61" i="9"/>
  <c r="L61" i="9"/>
  <c r="AE60" i="9"/>
  <c r="T61" i="9"/>
  <c r="J61" i="9"/>
  <c r="W61" i="9"/>
  <c r="S61" i="9"/>
  <c r="U61" i="9"/>
  <c r="AD61" i="9"/>
  <c r="Z62" i="9"/>
  <c r="AE61" i="9"/>
  <c r="K62" i="9"/>
  <c r="X62" i="9"/>
  <c r="E62" i="9"/>
  <c r="AB62" i="9"/>
  <c r="AH61" i="9"/>
  <c r="O62" i="9"/>
  <c r="R62" i="9"/>
  <c r="L62" i="9"/>
  <c r="S62" i="9"/>
  <c r="AA62" i="9"/>
  <c r="G62" i="9"/>
  <c r="V62" i="9"/>
  <c r="Y62" i="9"/>
  <c r="F62" i="9"/>
  <c r="N62" i="9"/>
  <c r="AF61" i="9"/>
  <c r="U62" i="9"/>
  <c r="W62" i="9"/>
  <c r="I62" i="9"/>
  <c r="H62" i="9"/>
  <c r="T62" i="9"/>
  <c r="AC61" i="9"/>
  <c r="M62" i="9"/>
  <c r="Q62" i="9"/>
  <c r="AG61" i="9"/>
  <c r="P62" i="9"/>
  <c r="J62" i="9"/>
  <c r="AA63" i="9"/>
  <c r="V63" i="9"/>
  <c r="U63" i="9"/>
  <c r="AB63" i="9"/>
  <c r="M63" i="9"/>
  <c r="R63" i="9"/>
  <c r="AH62" i="9"/>
  <c r="I63" i="9"/>
  <c r="T63" i="9"/>
  <c r="F63" i="9"/>
  <c r="E63" i="9"/>
  <c r="AF62" i="9"/>
  <c r="Q63" i="9"/>
  <c r="AE62" i="9"/>
  <c r="AD62" i="9"/>
  <c r="X63" i="9"/>
  <c r="K63" i="9"/>
  <c r="H63" i="9"/>
  <c r="O63" i="9"/>
  <c r="S63" i="9"/>
  <c r="L63" i="9"/>
  <c r="G63" i="9"/>
  <c r="W63" i="9"/>
  <c r="D62" i="9"/>
  <c r="P63" i="9"/>
  <c r="Z63" i="9"/>
  <c r="AC62" i="9"/>
  <c r="N63" i="9"/>
  <c r="J63" i="9"/>
  <c r="Y63" i="9"/>
  <c r="AG62" i="9"/>
  <c r="AC63" i="9"/>
  <c r="L64" i="9"/>
  <c r="J64" i="9"/>
  <c r="D63" i="9"/>
  <c r="W64" i="9"/>
  <c r="P64" i="9"/>
  <c r="N64" i="9"/>
  <c r="Q64" i="9"/>
  <c r="AE63" i="9"/>
  <c r="X64" i="9"/>
  <c r="M64" i="9"/>
  <c r="AA64" i="9"/>
  <c r="AB64" i="9"/>
  <c r="E64" i="9"/>
  <c r="H64" i="9"/>
  <c r="S64" i="9"/>
  <c r="I64" i="9"/>
  <c r="K64" i="9"/>
  <c r="Z64" i="9"/>
  <c r="Y64" i="9"/>
  <c r="O64" i="9"/>
  <c r="R64" i="9"/>
  <c r="G64" i="9"/>
  <c r="T64" i="9"/>
  <c r="AD63" i="9"/>
  <c r="U64" i="9"/>
  <c r="AF63" i="9"/>
  <c r="F64" i="9"/>
  <c r="V64" i="9"/>
  <c r="AG63" i="9"/>
  <c r="M65" i="9"/>
  <c r="AE64" i="9"/>
  <c r="AB65" i="9"/>
  <c r="Q65" i="9"/>
  <c r="F65" i="9"/>
  <c r="N65" i="9"/>
  <c r="R65" i="9"/>
  <c r="Y65" i="9"/>
  <c r="AA65" i="9"/>
  <c r="I65" i="9"/>
  <c r="U65" i="9"/>
  <c r="O65" i="9"/>
  <c r="D64" i="9"/>
  <c r="W65" i="9"/>
  <c r="T65" i="9"/>
  <c r="S65" i="9"/>
  <c r="E65" i="9"/>
  <c r="Z65" i="9"/>
  <c r="X65" i="9"/>
  <c r="P65" i="9"/>
  <c r="J65" i="9"/>
  <c r="H65" i="9"/>
  <c r="G65" i="9"/>
  <c r="V65" i="9"/>
  <c r="L65" i="9"/>
  <c r="AF64" i="9"/>
  <c r="AD64" i="9"/>
  <c r="K65" i="9"/>
  <c r="AC64" i="9"/>
  <c r="L66" i="9"/>
  <c r="AE65" i="9"/>
  <c r="E66" i="9"/>
  <c r="D65" i="9"/>
  <c r="J66" i="9"/>
  <c r="G66" i="9"/>
  <c r="AD65" i="9"/>
  <c r="V66" i="9"/>
  <c r="F66" i="9"/>
  <c r="Y66" i="9"/>
  <c r="M66" i="9"/>
  <c r="R66" i="9"/>
  <c r="N66" i="9"/>
  <c r="K66" i="9"/>
  <c r="Z66" i="9"/>
  <c r="S66" i="9"/>
  <c r="AA66" i="9"/>
  <c r="U66" i="9"/>
  <c r="I66" i="9"/>
  <c r="P66" i="9"/>
  <c r="W66" i="9"/>
  <c r="H66" i="9"/>
  <c r="O66" i="9"/>
  <c r="AD66" i="9"/>
  <c r="T66" i="9"/>
  <c r="S67" i="9"/>
  <c r="X66" i="9"/>
  <c r="AC66" i="9"/>
  <c r="AB66" i="9"/>
  <c r="D66" i="9"/>
  <c r="Q66" i="9"/>
  <c r="AC65" i="9"/>
  <c r="R67" i="9"/>
  <c r="Q67" i="9"/>
  <c r="P67" i="9"/>
  <c r="O67" i="9"/>
  <c r="N67" i="9"/>
  <c r="L67" i="9"/>
  <c r="M67" i="9"/>
  <c r="I67" i="9"/>
  <c r="J67" i="9"/>
  <c r="K67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<sst xmlns="http://schemas.openxmlformats.org/spreadsheetml/2006/main" count="2328" uniqueCount="811">
  <si>
    <t>About this Document</t>
  </si>
  <si>
    <t>This is the summary file for the Inbred HIPS 2023 - Lincoln</t>
  </si>
  <si>
    <t>Sheet</t>
  </si>
  <si>
    <t>Description</t>
  </si>
  <si>
    <t>Layout (Unit is Plot)</t>
  </si>
  <si>
    <t>North</t>
  </si>
  <si>
    <t>Row</t>
  </si>
  <si>
    <t>Range</t>
  </si>
  <si>
    <t>= 5' wide (row) x 10' long (range)
2 row plot</t>
  </si>
  <si>
    <t>Border</t>
  </si>
  <si>
    <t>Plot #</t>
  </si>
  <si>
    <t>Plot Row</t>
  </si>
  <si>
    <t>Nitrogen Treatment</t>
  </si>
  <si>
    <t>Rep</t>
  </si>
  <si>
    <t>Excel column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</si>
  <si>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</si>
  <si>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</si>
  <si>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</si>
  <si>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</si>
  <si>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</si>
  <si>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</si>
  <si>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</si>
  <si>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</si>
  <si>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</si>
  <si>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</si>
  <si>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</si>
  <si>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</si>
  <si>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</si>
  <si>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</si>
  <si>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</si>
  <si>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</si>
  <si>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</si>
  <si>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</si>
  <si>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</si>
  <si>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</si>
  <si>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</si>
  <si>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</si>
  <si>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</si>
  <si>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</si>
  <si>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</si>
  <si>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</si>
  <si>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</si>
  <si>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Excel Row</t>
  </si>
  <si>
    <t>Field Row</t>
  </si>
  <si>
    <t>AD</t>
  </si>
  <si>
    <t>AE</t>
  </si>
  <si>
    <t>AF</t>
  </si>
  <si>
    <t>AG</t>
  </si>
  <si>
    <t>AH</t>
  </si>
  <si>
    <t>AI</t>
  </si>
  <si>
    <t>AJ</t>
  </si>
  <si>
    <t>Layout (Unit is Field Row)</t>
  </si>
  <si>
    <t>2016-1</t>
  </si>
  <si>
    <t>= 2.5' wide (1 row) x 10' long (range)
1 row for a 2 row plot</t>
  </si>
  <si>
    <t/>
  </si>
  <si>
    <t>Metadata</t>
  </si>
  <si>
    <t>Field Width (E-W)</t>
  </si>
  <si>
    <t>170 feet</t>
  </si>
  <si>
    <t>Field Length (N-S)</t>
  </si>
  <si>
    <t>270 feet</t>
  </si>
  <si>
    <t># of Experimental Plots</t>
  </si>
  <si>
    <t># of Border Plots</t>
  </si>
  <si>
    <t>5 feet</t>
  </si>
  <si>
    <t>Plot Width (E-W)</t>
  </si>
  <si>
    <t>10 feet</t>
  </si>
  <si>
    <t>Plot Length (N-S) (center to center)</t>
  </si>
  <si>
    <t>Nitrogen Application Level</t>
  </si>
  <si>
    <t>150lbs N/acre</t>
  </si>
  <si>
    <t>Type of Fertilizer</t>
  </si>
  <si>
    <t>Pre-Planting Nitrogen Application Date</t>
  </si>
  <si>
    <t>Info about the field</t>
  </si>
  <si>
    <t>Field Layout</t>
  </si>
  <si>
    <t>Visual representation of the field</t>
  </si>
  <si>
    <t>Two types of maps are present:</t>
  </si>
  <si>
    <t>The fundamental unit in this map is the plot</t>
  </si>
  <si>
    <t>The fundamental unit in this map is a single 10 foot row</t>
  </si>
  <si>
    <t>Index</t>
  </si>
  <si>
    <t>This is the index based on the the "Layout (Unit is Plot)" layout</t>
  </si>
  <si>
    <t>Pesticide application schedule</t>
  </si>
  <si>
    <t>Date</t>
  </si>
  <si>
    <t>Type of Product</t>
  </si>
  <si>
    <t>Purpose</t>
  </si>
  <si>
    <t>Components</t>
  </si>
  <si>
    <t>Component Ratio</t>
  </si>
  <si>
    <t>Herbicides</t>
  </si>
  <si>
    <t>Pre-planting control of weeds</t>
  </si>
  <si>
    <t>Acuron + Roundup + Choice</t>
  </si>
  <si>
    <t>4 gal + 2.5 gal + .25 gal</t>
  </si>
  <si>
    <t>Liquid urea</t>
  </si>
  <si>
    <t>Planting density</t>
  </si>
  <si>
    <t>six inches between seeds</t>
  </si>
  <si>
    <t>Border Genotype</t>
  </si>
  <si>
    <t>Pioneer P1237AM</t>
  </si>
  <si>
    <t>Genotype in Filler in plots 1397-1400, 2397-2400</t>
  </si>
  <si>
    <t>Pioneer P1185AM</t>
  </si>
  <si>
    <t>Planting date</t>
  </si>
  <si>
    <t>Planted between 9am and 11:30am</t>
  </si>
  <si>
    <t>Inbred HIPS</t>
  </si>
  <si>
    <t>PI #</t>
  </si>
  <si>
    <t>-</t>
  </si>
  <si>
    <t>LH93</t>
  </si>
  <si>
    <t>PI 601171</t>
  </si>
  <si>
    <t>N192</t>
  </si>
  <si>
    <t>PI 550566</t>
  </si>
  <si>
    <t>H105W</t>
  </si>
  <si>
    <t>PI 587127</t>
  </si>
  <si>
    <t>Va59</t>
  </si>
  <si>
    <t>Ames 19016</t>
  </si>
  <si>
    <t>Oh40B</t>
  </si>
  <si>
    <t>NSL 28966</t>
  </si>
  <si>
    <t>764</t>
  </si>
  <si>
    <t>PI 601374</t>
  </si>
  <si>
    <t>ML606</t>
  </si>
  <si>
    <t>PI 583774</t>
  </si>
  <si>
    <t>LP5</t>
  </si>
  <si>
    <t>PI 601378</t>
  </si>
  <si>
    <t>CML277</t>
  </si>
  <si>
    <t>PI 595550</t>
  </si>
  <si>
    <t>B73</t>
  </si>
  <si>
    <t>?</t>
  </si>
  <si>
    <t>NC250</t>
  </si>
  <si>
    <t>PI 550555</t>
  </si>
  <si>
    <t>Tzi18</t>
  </si>
  <si>
    <t>PI 506253</t>
  </si>
  <si>
    <t>CML321</t>
  </si>
  <si>
    <t>Ames 27095</t>
  </si>
  <si>
    <t>S8326</t>
  </si>
  <si>
    <t>PI 601612</t>
  </si>
  <si>
    <t>B52</t>
  </si>
  <si>
    <t>PI 550454</t>
  </si>
  <si>
    <t>CH701-30</t>
  </si>
  <si>
    <t>Ames 27069</t>
  </si>
  <si>
    <t>NC234</t>
  </si>
  <si>
    <t>Ames 27158</t>
  </si>
  <si>
    <t>PHG84</t>
  </si>
  <si>
    <t>PI 601320</t>
  </si>
  <si>
    <t>H84</t>
  </si>
  <si>
    <t>PI 587128</t>
  </si>
  <si>
    <t>CML154Q</t>
  </si>
  <si>
    <t>Ames 27083</t>
  </si>
  <si>
    <t>CI21E</t>
  </si>
  <si>
    <t>Cize 21</t>
  </si>
  <si>
    <t>MQ305</t>
  </si>
  <si>
    <t>PI 559917</t>
  </si>
  <si>
    <t>NC364</t>
  </si>
  <si>
    <t>Ames 27178</t>
  </si>
  <si>
    <t>UFMu-08594</t>
  </si>
  <si>
    <t>11430</t>
  </si>
  <si>
    <t>PI 601558</t>
  </si>
  <si>
    <t>792</t>
  </si>
  <si>
    <t>NSL 243016</t>
  </si>
  <si>
    <t>I205</t>
  </si>
  <si>
    <t>NSL 65871</t>
  </si>
  <si>
    <t>M14</t>
  </si>
  <si>
    <t>NSL 30867</t>
  </si>
  <si>
    <t>PHG72</t>
  </si>
  <si>
    <t>PI 601319</t>
  </si>
  <si>
    <t>CI3A</t>
  </si>
  <si>
    <t>Ames 26116</t>
  </si>
  <si>
    <t>NC320</t>
  </si>
  <si>
    <t>Ames 27156</t>
  </si>
  <si>
    <t>OH7B</t>
  </si>
  <si>
    <t>Ames 19323</t>
  </si>
  <si>
    <t>38-11</t>
  </si>
  <si>
    <t>Ames 26604</t>
  </si>
  <si>
    <t>NC318</t>
  </si>
  <si>
    <t>Ames 27155</t>
  </si>
  <si>
    <t>PHWG5</t>
  </si>
  <si>
    <t>PI 559954</t>
  </si>
  <si>
    <t>B2</t>
  </si>
  <si>
    <t>Ames 26769</t>
  </si>
  <si>
    <t>Ky21</t>
  </si>
  <si>
    <t>PI 552676</t>
  </si>
  <si>
    <t>B37</t>
  </si>
  <si>
    <t>PI 550467</t>
  </si>
  <si>
    <t>PHZ51</t>
  </si>
  <si>
    <t>PI 601322</t>
  </si>
  <si>
    <t>B97</t>
  </si>
  <si>
    <t>PI 564682</t>
  </si>
  <si>
    <t>IDS28</t>
  </si>
  <si>
    <t>Ames 24575</t>
  </si>
  <si>
    <t>F42</t>
  </si>
  <si>
    <t>PI 601026</t>
  </si>
  <si>
    <t>A188</t>
  </si>
  <si>
    <t>Ames 22443</t>
  </si>
  <si>
    <t>CI66</t>
  </si>
  <si>
    <t>PI 587148</t>
  </si>
  <si>
    <t>CM37</t>
  </si>
  <si>
    <t>Ames 20190</t>
  </si>
  <si>
    <t>PHJ40</t>
  </si>
  <si>
    <t>PI 601321</t>
  </si>
  <si>
    <t>PHN11</t>
  </si>
  <si>
    <t>PI 601497</t>
  </si>
  <si>
    <t>N6</t>
  </si>
  <si>
    <t>Ames 27137</t>
  </si>
  <si>
    <t>CR1HT</t>
  </si>
  <si>
    <t>PI 601080</t>
  </si>
  <si>
    <t>PHG71</t>
  </si>
  <si>
    <t>PI 601150</t>
  </si>
  <si>
    <t>AQA3</t>
  </si>
  <si>
    <t>PI 564749</t>
  </si>
  <si>
    <t>PHG50</t>
  </si>
  <si>
    <t>PI 601006</t>
  </si>
  <si>
    <t>C49A</t>
  </si>
  <si>
    <t>Ames 27067</t>
  </si>
  <si>
    <t>NC300</t>
  </si>
  <si>
    <t>Ames 27146</t>
  </si>
  <si>
    <t>CML311</t>
  </si>
  <si>
    <t>Ames 27093</t>
  </si>
  <si>
    <t>NC294</t>
  </si>
  <si>
    <t>Ames 27143</t>
  </si>
  <si>
    <t>CML157Q</t>
  </si>
  <si>
    <t>Ames 27084</t>
  </si>
  <si>
    <t>Tx601</t>
  </si>
  <si>
    <t>Ames 22763</t>
  </si>
  <si>
    <t>CI64</t>
  </si>
  <si>
    <t>Ames 19314</t>
  </si>
  <si>
    <t>B76</t>
  </si>
  <si>
    <t>PI 550483</t>
  </si>
  <si>
    <t>NC366</t>
  </si>
  <si>
    <t>Ames 27179</t>
  </si>
  <si>
    <t>NC352</t>
  </si>
  <si>
    <t>Ames 27172</t>
  </si>
  <si>
    <t>PHW65</t>
  </si>
  <si>
    <t>PI 601501</t>
  </si>
  <si>
    <t>B46</t>
  </si>
  <si>
    <t>PI 550469</t>
  </si>
  <si>
    <t>H99</t>
  </si>
  <si>
    <t>PI 587129</t>
  </si>
  <si>
    <t>78010</t>
  </si>
  <si>
    <t>PI 601211</t>
  </si>
  <si>
    <t>29MIBZ2</t>
  </si>
  <si>
    <t>PI 548830</t>
  </si>
  <si>
    <t>NC346</t>
  </si>
  <si>
    <t>Ames 27169</t>
  </si>
  <si>
    <t>NC232</t>
  </si>
  <si>
    <t>Ames 12732</t>
  </si>
  <si>
    <t>ND246</t>
  </si>
  <si>
    <t>PI 550490</t>
  </si>
  <si>
    <t>CML38</t>
  </si>
  <si>
    <t>PI 595534</t>
  </si>
  <si>
    <t>B79</t>
  </si>
  <si>
    <t>PI 608766</t>
  </si>
  <si>
    <t>B64</t>
  </si>
  <si>
    <t>PI 550440</t>
  </si>
  <si>
    <t>A659</t>
  </si>
  <si>
    <t>NSL 81599</t>
  </si>
  <si>
    <t>3IIH6</t>
  </si>
  <si>
    <t>PI 564754</t>
  </si>
  <si>
    <t>33-16</t>
  </si>
  <si>
    <t>Ames 26771</t>
  </si>
  <si>
    <t>A661</t>
  </si>
  <si>
    <t>PI 607521</t>
  </si>
  <si>
    <t>4676A</t>
  </si>
  <si>
    <t>PI 601300</t>
  </si>
  <si>
    <t>CML261</t>
  </si>
  <si>
    <t>Ames 27091</t>
  </si>
  <si>
    <t>R109B</t>
  </si>
  <si>
    <t>NSL 242484</t>
  </si>
  <si>
    <t>NQ508</t>
  </si>
  <si>
    <t>PI 559918</t>
  </si>
  <si>
    <t>LH146Ht</t>
  </si>
  <si>
    <t>PI 601402</t>
  </si>
  <si>
    <t>NC344</t>
  </si>
  <si>
    <t>Ames 27168</t>
  </si>
  <si>
    <t>NS701</t>
  </si>
  <si>
    <t>PI 601417</t>
  </si>
  <si>
    <t>NC338</t>
  </si>
  <si>
    <t>Ames 27165</t>
  </si>
  <si>
    <t>Seagull Seventeen</t>
  </si>
  <si>
    <t>PI 600751</t>
  </si>
  <si>
    <t>S8324</t>
  </si>
  <si>
    <t>PI 601611</t>
  </si>
  <si>
    <t>PHG47</t>
  </si>
  <si>
    <t>PI 601318</t>
  </si>
  <si>
    <t>A654</t>
  </si>
  <si>
    <t>PI 587141</t>
  </si>
  <si>
    <t>P39</t>
  </si>
  <si>
    <t>Ames 28186</t>
  </si>
  <si>
    <t>KUI44</t>
  </si>
  <si>
    <t>Ames 27260</t>
  </si>
  <si>
    <t>Va17</t>
  </si>
  <si>
    <t>Ames 19002</t>
  </si>
  <si>
    <t>Va35</t>
  </si>
  <si>
    <t>PI 587150</t>
  </si>
  <si>
    <t>CML323</t>
  </si>
  <si>
    <t>Ames 27097</t>
  </si>
  <si>
    <t>Il677a</t>
  </si>
  <si>
    <t>Ames 27120</t>
  </si>
  <si>
    <t>PHG86</t>
  </si>
  <si>
    <t>PI 601442</t>
  </si>
  <si>
    <t>N28Ht</t>
  </si>
  <si>
    <t>Ames 27138</t>
  </si>
  <si>
    <t>DE_2</t>
  </si>
  <si>
    <t>PI 606330</t>
  </si>
  <si>
    <t>CML103</t>
  </si>
  <si>
    <t>Ames 27081</t>
  </si>
  <si>
    <t>5707</t>
  </si>
  <si>
    <t>PI 601269</t>
  </si>
  <si>
    <t>A441-5</t>
  </si>
  <si>
    <t>Ames 27064</t>
  </si>
  <si>
    <t>Sg18</t>
  </si>
  <si>
    <t>NSL 75979</t>
  </si>
  <si>
    <t>NC336</t>
  </si>
  <si>
    <t>Ames 27164</t>
  </si>
  <si>
    <t>LH39</t>
  </si>
  <si>
    <t>PI 600944</t>
  </si>
  <si>
    <t>[white variegated (iso. From bm4 Ac3252) (B73-1)]</t>
  </si>
  <si>
    <t>Black Jewell 85</t>
  </si>
  <si>
    <t>PI 601081</t>
  </si>
  <si>
    <t>PB80</t>
  </si>
  <si>
    <t>PI 601441</t>
  </si>
  <si>
    <t>Ki11</t>
  </si>
  <si>
    <t>Ames 27124</t>
  </si>
  <si>
    <t>Mo46</t>
  </si>
  <si>
    <t>PI 583351</t>
  </si>
  <si>
    <t>IA2132</t>
  </si>
  <si>
    <t>Ames 28364</t>
  </si>
  <si>
    <t>UFMu-05595</t>
  </si>
  <si>
    <t>Yu796_NS</t>
  </si>
  <si>
    <t>Ames 27196</t>
  </si>
  <si>
    <t>NC310</t>
  </si>
  <si>
    <t>Ames 27151</t>
  </si>
  <si>
    <t>B104</t>
  </si>
  <si>
    <t>PI 594047</t>
  </si>
  <si>
    <t>CI31A</t>
  </si>
  <si>
    <t>Ames 21512</t>
  </si>
  <si>
    <t>NC260</t>
  </si>
  <si>
    <t>Ames 27140</t>
  </si>
  <si>
    <t>Oh43</t>
  </si>
  <si>
    <t>Ames 19288</t>
  </si>
  <si>
    <t>LH38</t>
  </si>
  <si>
    <t>PI 600791</t>
  </si>
  <si>
    <t>NC296</t>
  </si>
  <si>
    <t>Ames 27144</t>
  </si>
  <si>
    <t>NC264</t>
  </si>
  <si>
    <t>PI 520774</t>
  </si>
  <si>
    <t>Mo44</t>
  </si>
  <si>
    <t>Ames 28939</t>
  </si>
  <si>
    <t>R168</t>
  </si>
  <si>
    <t>Ames 19326</t>
  </si>
  <si>
    <t>Tzi11</t>
  </si>
  <si>
    <t>PI 540745</t>
  </si>
  <si>
    <t>CML331</t>
  </si>
  <si>
    <t>Ames 27099</t>
  </si>
  <si>
    <t>LP1 NR HT</t>
  </si>
  <si>
    <t>PI 600729</t>
  </si>
  <si>
    <t>CML322</t>
  </si>
  <si>
    <t>Ames 27096</t>
  </si>
  <si>
    <t>NC298</t>
  </si>
  <si>
    <t>Ames 27261</t>
  </si>
  <si>
    <t>E8501</t>
  </si>
  <si>
    <t>PI 601724</t>
  </si>
  <si>
    <t>NC222</t>
  </si>
  <si>
    <t>Ames 12729</t>
  </si>
  <si>
    <t>Mo18W</t>
  </si>
  <si>
    <t>PI 550441</t>
  </si>
  <si>
    <t>W64A</t>
  </si>
  <si>
    <t>NSL 30058</t>
  </si>
  <si>
    <t>78551S</t>
  </si>
  <si>
    <t>PI 601562</t>
  </si>
  <si>
    <t>LH54</t>
  </si>
  <si>
    <t>PI 601316</t>
  </si>
  <si>
    <t>UFMu-08808</t>
  </si>
  <si>
    <t>CI187-2</t>
  </si>
  <si>
    <t>Ames 26138</t>
  </si>
  <si>
    <t>Mo47</t>
  </si>
  <si>
    <t>PI 583352</t>
  </si>
  <si>
    <t>807</t>
  </si>
  <si>
    <t>PI 601430</t>
  </si>
  <si>
    <t>Q381</t>
  </si>
  <si>
    <t>PI 601190</t>
  </si>
  <si>
    <t>A679</t>
  </si>
  <si>
    <t>PI 587142</t>
  </si>
  <si>
    <t>A619</t>
  </si>
  <si>
    <t>PI 587139</t>
  </si>
  <si>
    <t>MS1334</t>
  </si>
  <si>
    <t>Ames 24752</t>
  </si>
  <si>
    <t>CML238</t>
  </si>
  <si>
    <t>Ames 27089</t>
  </si>
  <si>
    <t>ZS365</t>
  </si>
  <si>
    <t>PI 574393</t>
  </si>
  <si>
    <t>Tzi16</t>
  </si>
  <si>
    <t>PI 540747</t>
  </si>
  <si>
    <t>A6</t>
  </si>
  <si>
    <t>Ames 27062</t>
  </si>
  <si>
    <t>4226</t>
  </si>
  <si>
    <t>NSL 30904</t>
  </si>
  <si>
    <t>FR19</t>
  </si>
  <si>
    <t>PI 600772</t>
  </si>
  <si>
    <t>MO1W</t>
  </si>
  <si>
    <t>PI 558520</t>
  </si>
  <si>
    <t>Mo17</t>
  </si>
  <si>
    <t>PI 558532</t>
  </si>
  <si>
    <t>OQ403</t>
  </si>
  <si>
    <t>PI 559920</t>
  </si>
  <si>
    <t>F118</t>
  </si>
  <si>
    <t>PI 555462</t>
  </si>
  <si>
    <t>NC306</t>
  </si>
  <si>
    <t>Ames 27149</t>
  </si>
  <si>
    <t>CR14</t>
  </si>
  <si>
    <t>PI 601683</t>
  </si>
  <si>
    <t>B14A</t>
  </si>
  <si>
    <t>PI 550461</t>
  </si>
  <si>
    <t>I29</t>
  </si>
  <si>
    <t>Ames 27115</t>
  </si>
  <si>
    <t>CO106</t>
  </si>
  <si>
    <t>Ames 27105</t>
  </si>
  <si>
    <t>H95</t>
  </si>
  <si>
    <t>Ames 19319</t>
  </si>
  <si>
    <t>K148</t>
  </si>
  <si>
    <t>Ames 27122</t>
  </si>
  <si>
    <t>NS501</t>
  </si>
  <si>
    <t>PI 601583</t>
  </si>
  <si>
    <t>SD44</t>
  </si>
  <si>
    <t>PI 524969</t>
  </si>
  <si>
    <t>B57</t>
  </si>
  <si>
    <t>PI 550472</t>
  </si>
  <si>
    <t>BO9</t>
  </si>
  <si>
    <t>PI 601007</t>
  </si>
  <si>
    <t>CI90C</t>
  </si>
  <si>
    <t>Ames 22440</t>
  </si>
  <si>
    <t>LH85</t>
  </si>
  <si>
    <t>PI 601405</t>
  </si>
  <si>
    <t>D940Y</t>
  </si>
  <si>
    <t>Ames 27108</t>
  </si>
  <si>
    <t>MS71</t>
  </si>
  <si>
    <t>PI 587137</t>
  </si>
  <si>
    <t>Mo24W</t>
  </si>
  <si>
    <t>PI 587144</t>
  </si>
  <si>
    <t>NC33</t>
  </si>
  <si>
    <t>Ames 27139</t>
  </si>
  <si>
    <t>Tx303</t>
  </si>
  <si>
    <t>Ames 19327</t>
  </si>
  <si>
    <t>PHH93</t>
  </si>
  <si>
    <t>PI 601567</t>
  </si>
  <si>
    <t>HP301</t>
  </si>
  <si>
    <t>PI 587131</t>
  </si>
  <si>
    <t>A682</t>
  </si>
  <si>
    <t>PI 587143</t>
  </si>
  <si>
    <t>NC328</t>
  </si>
  <si>
    <t>Ames 27160</t>
  </si>
  <si>
    <t>K64</t>
  </si>
  <si>
    <t>Ames 27121</t>
  </si>
  <si>
    <t>NC348</t>
  </si>
  <si>
    <t>Ames 27170</t>
  </si>
  <si>
    <t>CI28A</t>
  </si>
  <si>
    <t>Cize 28</t>
  </si>
  <si>
    <t>FBHJ</t>
  </si>
  <si>
    <t>PI 601439</t>
  </si>
  <si>
    <t>CM7</t>
  </si>
  <si>
    <t>Ames 27070</t>
  </si>
  <si>
    <t>A556</t>
  </si>
  <si>
    <t>Ames 23450</t>
  </si>
  <si>
    <t>NC302</t>
  </si>
  <si>
    <t>Ames 27147</t>
  </si>
  <si>
    <t>CO125</t>
  </si>
  <si>
    <t>Ames 27106</t>
  </si>
  <si>
    <t>NC314</t>
  </si>
  <si>
    <t>Ames 27153</t>
  </si>
  <si>
    <t>LH82</t>
  </si>
  <si>
    <t>PI 601170</t>
  </si>
  <si>
    <t>CMV3</t>
  </si>
  <si>
    <t>Ames 27038</t>
  </si>
  <si>
    <t>CML247</t>
  </si>
  <si>
    <t>PI 595541</t>
  </si>
  <si>
    <t>PHG35</t>
  </si>
  <si>
    <t>PI 601008</t>
  </si>
  <si>
    <t>Pa762</t>
  </si>
  <si>
    <t>Ames 27184</t>
  </si>
  <si>
    <t>LH213</t>
  </si>
  <si>
    <t>PI 547090</t>
  </si>
  <si>
    <t>CML69</t>
  </si>
  <si>
    <t>Ames 28184</t>
  </si>
  <si>
    <t>CML108</t>
  </si>
  <si>
    <t>Ames 27082</t>
  </si>
  <si>
    <t>CI.7</t>
  </si>
  <si>
    <t>Ames 28367</t>
  </si>
  <si>
    <t>E2558W</t>
  </si>
  <si>
    <t>Ames 27110</t>
  </si>
  <si>
    <t>PHW43</t>
  </si>
  <si>
    <t>PI 601792</t>
  </si>
  <si>
    <t>Va26</t>
  </si>
  <si>
    <t>PI 587149</t>
  </si>
  <si>
    <t>LH60</t>
  </si>
  <si>
    <t>PI 601404</t>
  </si>
  <si>
    <t>B10</t>
  </si>
  <si>
    <t>NSL 65865</t>
  </si>
  <si>
    <t>Sg1533</t>
  </si>
  <si>
    <t>PI 587132</t>
  </si>
  <si>
    <t>PHW17</t>
  </si>
  <si>
    <t>PI 601362</t>
  </si>
  <si>
    <t>UFMu-08805</t>
  </si>
  <si>
    <t>EP1</t>
  </si>
  <si>
    <t>Ames 27111</t>
  </si>
  <si>
    <t>UFMu-02421</t>
  </si>
  <si>
    <t>LH57</t>
  </si>
  <si>
    <t>PI 601317</t>
  </si>
  <si>
    <t>NC238</t>
  </si>
  <si>
    <t>Ames 12735</t>
  </si>
  <si>
    <t>CH9</t>
  </si>
  <si>
    <t>Ames 27068</t>
  </si>
  <si>
    <t>H8431</t>
  </si>
  <si>
    <t>PI 601610</t>
  </si>
  <si>
    <t>LH183</t>
  </si>
  <si>
    <t>PI 564755</t>
  </si>
  <si>
    <t>CM105</t>
  </si>
  <si>
    <t>PI 587124</t>
  </si>
  <si>
    <t>G80</t>
  </si>
  <si>
    <t>PI 601037</t>
  </si>
  <si>
    <t>M37W</t>
  </si>
  <si>
    <t>Ames 27133</t>
  </si>
  <si>
    <t>SC55</t>
  </si>
  <si>
    <t>Ames 27189</t>
  </si>
  <si>
    <t>NC258</t>
  </si>
  <si>
    <t>PI 531084</t>
  </si>
  <si>
    <t>Mo45</t>
  </si>
  <si>
    <t>PI 583350</t>
  </si>
  <si>
    <t>CML92</t>
  </si>
  <si>
    <t>Ames 27080</t>
  </si>
  <si>
    <t>Tzi9</t>
  </si>
  <si>
    <t>PI 506247</t>
  </si>
  <si>
    <t>B109</t>
  </si>
  <si>
    <t>PI 597927</t>
  </si>
  <si>
    <t>T232</t>
  </si>
  <si>
    <t>PI 550522</t>
  </si>
  <si>
    <t>PI 550473</t>
  </si>
  <si>
    <t>Tzi10</t>
  </si>
  <si>
    <t>PI 506248</t>
  </si>
  <si>
    <t>CS405</t>
  </si>
  <si>
    <t>PI 559916</t>
  </si>
  <si>
    <t>Wf9</t>
  </si>
  <si>
    <t>Ames 19293</t>
  </si>
  <si>
    <t>Hi27</t>
  </si>
  <si>
    <t>PI 593009</t>
  </si>
  <si>
    <t>CML91</t>
  </si>
  <si>
    <t>Ames 27079</t>
  </si>
  <si>
    <t>W153R</t>
  </si>
  <si>
    <t>PI 587154</t>
  </si>
  <si>
    <t>W22 R1-r</t>
  </si>
  <si>
    <t>779</t>
  </si>
  <si>
    <t>PI 601376</t>
  </si>
  <si>
    <t>NC362</t>
  </si>
  <si>
    <t>Ames 27177</t>
  </si>
  <si>
    <t>6F629</t>
  </si>
  <si>
    <t>PI 546483</t>
  </si>
  <si>
    <t>W182B</t>
  </si>
  <si>
    <t>Ames 19330</t>
  </si>
  <si>
    <t>2MA22</t>
  </si>
  <si>
    <t>PI 601560</t>
  </si>
  <si>
    <t>T8</t>
  </si>
  <si>
    <t>PI 550518</t>
  </si>
  <si>
    <t>F6</t>
  </si>
  <si>
    <t>NSL 22894</t>
  </si>
  <si>
    <t>LH208</t>
  </si>
  <si>
    <t>PI 547088</t>
  </si>
  <si>
    <t>A641</t>
  </si>
  <si>
    <t>Ames 19311</t>
  </si>
  <si>
    <t>Kui2021</t>
  </si>
  <si>
    <t>Ames 27129</t>
  </si>
  <si>
    <t>FBLA</t>
  </si>
  <si>
    <t>PI 546482</t>
  </si>
  <si>
    <t>Hy</t>
  </si>
  <si>
    <t>Ames 26808</t>
  </si>
  <si>
    <t>MoG</t>
  </si>
  <si>
    <t>Ames 27136</t>
  </si>
  <si>
    <t>NC368</t>
  </si>
  <si>
    <t>Ames 27180</t>
  </si>
  <si>
    <t>2FACC</t>
  </si>
  <si>
    <t>PI 601808</t>
  </si>
  <si>
    <t>CML328</t>
  </si>
  <si>
    <t>Ames 27098</t>
  </si>
  <si>
    <t>78371A</t>
  </si>
  <si>
    <t>PI 601438</t>
  </si>
  <si>
    <t>CML332</t>
  </si>
  <si>
    <t>Ames 27100</t>
  </si>
  <si>
    <t>W22</t>
  </si>
  <si>
    <t>NSL 30053</t>
  </si>
  <si>
    <t>NC360</t>
  </si>
  <si>
    <t>Ames 27176</t>
  </si>
  <si>
    <t>Mt42</t>
  </si>
  <si>
    <t>Ames 20140</t>
  </si>
  <si>
    <t>NC340</t>
  </si>
  <si>
    <t>Ames 27166</t>
  </si>
  <si>
    <t>Il14H</t>
  </si>
  <si>
    <t>Ames 27118</t>
  </si>
  <si>
    <t>207</t>
  </si>
  <si>
    <t>PI 601005</t>
  </si>
  <si>
    <t>MDF-13D</t>
  </si>
  <si>
    <t>PI 600956</t>
  </si>
  <si>
    <t>VA102</t>
  </si>
  <si>
    <t>PI 587151</t>
  </si>
  <si>
    <t>CI91B</t>
  </si>
  <si>
    <t>Ames 28365</t>
  </si>
  <si>
    <t>PHV63</t>
  </si>
  <si>
    <t>PI 601500</t>
  </si>
  <si>
    <t>Tzi25</t>
  </si>
  <si>
    <t>PI 506255</t>
  </si>
  <si>
    <t>CML254</t>
  </si>
  <si>
    <t>PI 595542</t>
  </si>
  <si>
    <t>B73Htrhm</t>
  </si>
  <si>
    <t>Ames 27065</t>
  </si>
  <si>
    <t>F2834T</t>
  </si>
  <si>
    <t>Ames 27112</t>
  </si>
  <si>
    <t>CML287</t>
  </si>
  <si>
    <t>PI 595565</t>
  </si>
  <si>
    <t>ICI 740</t>
  </si>
  <si>
    <t>PI 559382</t>
  </si>
  <si>
    <t>B68</t>
  </si>
  <si>
    <t>PI 550465</t>
  </si>
  <si>
    <t>H91</t>
  </si>
  <si>
    <t>Ames 27114</t>
  </si>
  <si>
    <t>KY228</t>
  </si>
  <si>
    <t>PI 587136</t>
  </si>
  <si>
    <t>NC358</t>
  </si>
  <si>
    <t>Ames 27175</t>
  </si>
  <si>
    <t>SC213R</t>
  </si>
  <si>
    <t>NSL 53083</t>
  </si>
  <si>
    <t>H49</t>
  </si>
  <si>
    <t>Ames 15929</t>
  </si>
  <si>
    <t>R229</t>
  </si>
  <si>
    <t>PI 592734</t>
  </si>
  <si>
    <t>UFMu-07868</t>
  </si>
  <si>
    <t>UFMu-10402</t>
  </si>
  <si>
    <t>W117Ht</t>
  </si>
  <si>
    <t>Ames 8399</t>
  </si>
  <si>
    <t>NC290A</t>
  </si>
  <si>
    <t>Ames 27141</t>
  </si>
  <si>
    <t>VaW6</t>
  </si>
  <si>
    <t>Ames 19000</t>
  </si>
  <si>
    <t>A554</t>
  </si>
  <si>
    <t>PI 587138</t>
  </si>
  <si>
    <t>NC236</t>
  </si>
  <si>
    <t>Ames 12734</t>
  </si>
  <si>
    <t>Va14</t>
  </si>
  <si>
    <t>Ames 27192</t>
  </si>
  <si>
    <t>Va99</t>
  </si>
  <si>
    <t>Ames 24989</t>
  </si>
  <si>
    <t>HB8229</t>
  </si>
  <si>
    <t>PI 601564</t>
  </si>
  <si>
    <t>PHT77</t>
  </si>
  <si>
    <t>PI 601499</t>
  </si>
  <si>
    <t>LH150</t>
  </si>
  <si>
    <t>PI 601230</t>
  </si>
  <si>
    <t>CML333</t>
  </si>
  <si>
    <t>Ames 27101</t>
  </si>
  <si>
    <t>K4</t>
  </si>
  <si>
    <t>NSL 30038</t>
  </si>
  <si>
    <t>Ky226</t>
  </si>
  <si>
    <t>Ames 27131</t>
  </si>
  <si>
    <t>Oh43E</t>
  </si>
  <si>
    <t>Ames 27183</t>
  </si>
  <si>
    <t>N7A</t>
  </si>
  <si>
    <t>PI 607512</t>
  </si>
  <si>
    <t>M162W</t>
  </si>
  <si>
    <t>Ames 27134</t>
  </si>
  <si>
    <t>CML264</t>
  </si>
  <si>
    <t>PI 595544</t>
  </si>
  <si>
    <t>MBNA</t>
  </si>
  <si>
    <t>PI 601209</t>
  </si>
  <si>
    <t>B164</t>
  </si>
  <si>
    <t>Ames 27066</t>
  </si>
  <si>
    <t>4722</t>
  </si>
  <si>
    <t>PI 587130</t>
  </si>
  <si>
    <t>T234</t>
  </si>
  <si>
    <t>Ames 27190</t>
  </si>
  <si>
    <t>778</t>
  </si>
  <si>
    <t>PI 601375</t>
  </si>
  <si>
    <t>Il101</t>
  </si>
  <si>
    <t>Ames 27119</t>
  </si>
  <si>
    <t>LH1</t>
  </si>
  <si>
    <t>PI 644101</t>
  </si>
  <si>
    <t>A635</t>
  </si>
  <si>
    <t>Ames 19309</t>
  </si>
  <si>
    <t>CM174</t>
  </si>
  <si>
    <t>Ames 19316</t>
  </si>
  <si>
    <t>78004</t>
  </si>
  <si>
    <t>PI 601210</t>
  </si>
  <si>
    <t>IDS91</t>
  </si>
  <si>
    <t>Ames 24577</t>
  </si>
  <si>
    <t>Va22</t>
  </si>
  <si>
    <t>Ames 19328</t>
  </si>
  <si>
    <t>SD40</t>
  </si>
  <si>
    <t>PI 606768</t>
  </si>
  <si>
    <t>PHK76</t>
  </si>
  <si>
    <t>PI 601496</t>
  </si>
  <si>
    <t>NC356</t>
  </si>
  <si>
    <t>Ames 27174</t>
  </si>
  <si>
    <t>Os420</t>
  </si>
  <si>
    <t>NSL 65874</t>
  </si>
  <si>
    <t>CML10</t>
  </si>
  <si>
    <t>Ames 27072</t>
  </si>
  <si>
    <t>L578</t>
  </si>
  <si>
    <t>Ames 27132</t>
  </si>
  <si>
    <t>B84</t>
  </si>
  <si>
    <t>PI 608767</t>
  </si>
  <si>
    <t>R4</t>
  </si>
  <si>
    <t>Ames 27187</t>
  </si>
  <si>
    <t>LH74</t>
  </si>
  <si>
    <t>PI 600957</t>
  </si>
  <si>
    <t>PHG83</t>
  </si>
  <si>
    <t>PI 601229</t>
  </si>
  <si>
    <t>PHG39</t>
  </si>
  <si>
    <t>PI 600981</t>
  </si>
  <si>
    <t>CML61</t>
  </si>
  <si>
    <t>Ames 27078</t>
  </si>
  <si>
    <t>Va85</t>
  </si>
  <si>
    <t>Ames 27193</t>
  </si>
  <si>
    <t>DJ7</t>
  </si>
  <si>
    <t>PI 601191</t>
  </si>
  <si>
    <t>NC230</t>
  </si>
  <si>
    <t>Ames 12731</t>
  </si>
  <si>
    <t>IDS69</t>
  </si>
  <si>
    <t>Ames 24576</t>
  </si>
  <si>
    <t>NC262</t>
  </si>
  <si>
    <t>PI 531085</t>
  </si>
  <si>
    <t>793</t>
  </si>
  <si>
    <t>PI 601492</t>
  </si>
  <si>
    <t>DE1</t>
  </si>
  <si>
    <t>PI 606329</t>
  </si>
  <si>
    <t>A239</t>
  </si>
  <si>
    <t>Ames 23405</t>
  </si>
  <si>
    <t>CO255</t>
  </si>
  <si>
    <t>Ames 27050</t>
  </si>
  <si>
    <t>A634</t>
  </si>
  <si>
    <t>Ames 19308</t>
  </si>
  <si>
    <t>CML281</t>
  </si>
  <si>
    <t>Ames 27092</t>
  </si>
  <si>
    <t>CML5</t>
  </si>
  <si>
    <t>Ames 27071</t>
  </si>
  <si>
    <t>SC357</t>
  </si>
  <si>
    <t>NSL 53094</t>
  </si>
  <si>
    <t>L317</t>
  </si>
  <si>
    <t>NSL 65873</t>
  </si>
  <si>
    <t>PHR36</t>
  </si>
  <si>
    <t>PI 601361</t>
  </si>
  <si>
    <t>Pa875</t>
  </si>
  <si>
    <t>Ames 27185</t>
  </si>
  <si>
    <t>HBA1</t>
  </si>
  <si>
    <t>PI 601172</t>
  </si>
  <si>
    <t>R177</t>
  </si>
  <si>
    <t>NSL 30894</t>
  </si>
  <si>
    <t>B77</t>
  </si>
  <si>
    <t>PI 608765</t>
  </si>
  <si>
    <t>I137TN</t>
  </si>
  <si>
    <t>Ames 27116</t>
  </si>
  <si>
    <t>A632</t>
  </si>
  <si>
    <t>PI 587140</t>
  </si>
  <si>
    <t>B103</t>
  </si>
  <si>
    <t>PI 594046</t>
  </si>
  <si>
    <t>CQ702RC</t>
  </si>
  <si>
    <t>PI 566938</t>
  </si>
  <si>
    <t>FAPW</t>
  </si>
  <si>
    <t>PI 600958</t>
  </si>
  <si>
    <t>F7</t>
  </si>
  <si>
    <t>PI 257507</t>
  </si>
  <si>
    <t>UFMu-11445</t>
  </si>
  <si>
    <t>UFMu-07581</t>
  </si>
  <si>
    <t>NC350</t>
  </si>
  <si>
    <t>Ames 27171</t>
  </si>
  <si>
    <t>K55</t>
  </si>
  <si>
    <t>Ames 22754</t>
  </si>
  <si>
    <t>LH51</t>
  </si>
  <si>
    <t>PI 600955</t>
  </si>
  <si>
    <t>C103</t>
  </si>
  <si>
    <t>Ames 19284</t>
  </si>
  <si>
    <t>Ia5125</t>
  </si>
  <si>
    <t>Ames 27117</t>
  </si>
  <si>
    <t>LH145</t>
  </si>
  <si>
    <t>PI 600959</t>
  </si>
  <si>
    <t>MBST</t>
  </si>
  <si>
    <t>PI 601566</t>
  </si>
  <si>
    <t>Pa91</t>
  </si>
  <si>
    <t>PI 587147</t>
  </si>
  <si>
    <t>LH123HT</t>
  </si>
  <si>
    <t>PI 601079</t>
  </si>
  <si>
    <t>Ki14</t>
  </si>
  <si>
    <t>Ames 27259</t>
  </si>
  <si>
    <t>CML52</t>
  </si>
  <si>
    <t>PI 595561</t>
  </si>
  <si>
    <t>B75</t>
  </si>
  <si>
    <t>PI 608774</t>
  </si>
  <si>
    <t>POP-N-EAT</t>
  </si>
  <si>
    <t>PI 600742</t>
  </si>
  <si>
    <t>DE811</t>
  </si>
  <si>
    <t>PI 550558</t>
  </si>
  <si>
    <t>SA24</t>
  </si>
  <si>
    <t>Ames 27188</t>
  </si>
  <si>
    <t>NC326</t>
  </si>
  <si>
    <t>Ames 27159</t>
  </si>
  <si>
    <t>NC342</t>
  </si>
  <si>
    <t>Ames 27167</t>
  </si>
  <si>
    <t>A680</t>
  </si>
  <si>
    <t>Ames 23503</t>
  </si>
  <si>
    <t>Pa880</t>
  </si>
  <si>
    <t>PI 517974</t>
  </si>
  <si>
    <t>GA209</t>
  </si>
  <si>
    <t>Ames 10248</t>
  </si>
  <si>
    <t>CML220</t>
  </si>
  <si>
    <t>Ames 27087</t>
  </si>
  <si>
    <t>L127</t>
  </si>
  <si>
    <t>PI 601726</t>
  </si>
  <si>
    <t>RS 710</t>
  </si>
  <si>
    <t>PI 539930</t>
  </si>
  <si>
    <t>Genotype and PI information is based on what was provided by Lisa Coffey from ISU in the document:</t>
  </si>
  <si>
    <t>Lisa Coffey 2023 Inbred HIPS field book.xlsx</t>
  </si>
  <si>
    <t>Genotype ID</t>
  </si>
  <si>
    <t>Control of weeds</t>
  </si>
  <si>
    <t>Acuron + Choice</t>
  </si>
  <si>
    <t xml:space="preserve">4 gal  + .25 gal </t>
  </si>
  <si>
    <t>Hand Harvest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</si>
</sst>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2" xfId="0" applyFill="1" applyBorder="1" applyAlignment="1">
      <alignment horizontal="center" vertical="center" textRotation="90"/>
    </xf>
    <xf numFmtId="0" fontId="0" fillId="3" borderId="2" xfId="0" applyFill="1" applyBorder="1" applyAlignment="1">
      <alignment horizontal="center" vertical="center" textRotation="90"/>
    </xf>
    <xf numFmtId="0" fontId="0" fillId="2" borderId="3" xfId="0" applyFill="1" applyBorder="1" applyAlignment="1">
      <alignment horizontal="center" vertical="center" textRotation="90"/>
    </xf>
    <xf numFmtId="0" fontId="0" fillId="2" borderId="4" xfId="0" applyFill="1" applyBorder="1" applyAlignment="1">
      <alignment horizontal="center" vertical="center" textRotation="90"/>
    </xf>
    <xf numFmtId="0" fontId="0" fillId="3" borderId="3" xfId="0" applyFill="1" applyBorder="1" applyAlignment="1">
      <alignment horizontal="center" vertical="center" textRotation="90"/>
    </xf>
    <xf numFmtId="0" fontId="0" fillId="3" borderId="4" xfId="0" applyFill="1" applyBorder="1" applyAlignment="1">
      <alignment horizontal="center" vertical="center" textRotation="90"/>
    </xf>
    <xf numFmtId="0" fontId="0" fillId="3" borderId="5" xfId="0" applyFill="1" applyBorder="1" applyAlignment="1">
      <alignment horizontal="center" vertical="center" textRotation="90"/>
    </xf>
    <xf numFmtId="0" fontId="0" fillId="0" borderId="2" xfId="0" applyBorder="1" applyAlignment="1">
      <alignment horizontal="center" vertical="center" textRotation="90"/>
    </xf>
    <xf numFmtId="14" fontId="0" fillId="0" borderId="0" xfId="0" applyNumberFormat="1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 vertical="center"/>
    </xf>
    <xf numFmtId="0" fontId="3" fillId="0" borderId="0" xfId="0" applyFont="1"/>
    <xf numFmtId="0" fontId="1" fillId="4" borderId="3" xfId="0" applyFont="1" applyFill="1" applyBorder="1" applyAlignment="1">
      <alignment horizontal="center" vertical="center" textRotation="90"/>
    </xf>
    <xf numFmtId="0" fontId="1" fillId="4" borderId="4" xfId="0" applyFont="1" applyFill="1" applyBorder="1" applyAlignment="1">
      <alignment horizontal="center" vertical="center" textRotation="90"/>
    </xf>
    <xf numFmtId="0" fontId="0" fillId="4" borderId="3" xfId="0" applyFill="1" applyBorder="1" applyAlignment="1">
      <alignment horizontal="center" vertical="center" textRotation="90"/>
    </xf>
    <xf numFmtId="0" fontId="0" fillId="4" borderId="4" xfId="0" applyFill="1" applyBorder="1" applyAlignment="1">
      <alignment horizontal="center" vertical="center" textRotation="90"/>
    </xf>
    <xf numFmtId="0" fontId="1" fillId="4" borderId="2" xfId="0" applyFont="1" applyFill="1" applyBorder="1" applyAlignment="1">
      <alignment horizontal="center" vertical="center" textRotation="90"/>
    </xf>
    <xf numFmtId="0" fontId="0" fillId="4" borderId="2" xfId="0" applyFill="1" applyBorder="1" applyAlignment="1">
      <alignment horizontal="center" vertical="center" textRotation="90"/>
    </xf>
    <xf numFmtId="0" fontId="8" fillId="0" borderId="0" xfId="0" applyFont="1"/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1" xfId="0" quotePrefix="1" applyBorder="1" applyAlignment="1">
      <alignment horizontal="left" vertical="center" wrapText="1"/>
    </xf>
    <xf numFmtId="0" fontId="0" fillId="0" borderId="0" xfId="0" quotePrefix="1" applyAlignment="1">
      <alignment horizontal="left" vertical="center" wrapText="1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FF225-C8A1-4939-BD93-761562E0FE96}">
  <dimension ref="A1:D29"/>
  <sheetViews>
    <sheetView tabSelected="1" topLeftCell="A15" workbookViewId="0">
      <selection activeCell="C27" sqref="C27"/>
    </sheetView>
  </sheetViews>
  <sheetFormatPr defaultRowHeight="14.25" x14ac:dyDescent="0.45"/>
  <sheetData>
    <row r="1" spans="1:2" ht="18" x14ac:dyDescent="0.55000000000000004">
      <c r="A1" s="15" t="s">
        <v>0</v>
      </c>
    </row>
    <row r="2" spans="1:2" x14ac:dyDescent="0.45">
      <c r="B2" t="s">
        <v>1</v>
      </c>
    </row>
    <row r="10" spans="1:2" x14ac:dyDescent="0.45">
      <c r="A10" s="14" t="s">
        <v>2</v>
      </c>
      <c r="B10" s="14" t="s">
        <v>3</v>
      </c>
    </row>
    <row r="11" spans="1:2" x14ac:dyDescent="0.45">
      <c r="A11" s="13" t="s">
        <v>55</v>
      </c>
    </row>
    <row r="12" spans="1:2" x14ac:dyDescent="0.45">
      <c r="A12" s="13"/>
      <c r="B12" t="s">
        <v>70</v>
      </c>
    </row>
    <row r="13" spans="1:2" x14ac:dyDescent="0.45">
      <c r="A13" s="13"/>
    </row>
    <row r="14" spans="1:2" x14ac:dyDescent="0.45">
      <c r="A14" s="13"/>
    </row>
    <row r="15" spans="1:2" x14ac:dyDescent="0.45">
      <c r="A15" s="13" t="s">
        <v>71</v>
      </c>
    </row>
    <row r="16" spans="1:2" x14ac:dyDescent="0.45">
      <c r="A16" s="13"/>
      <c r="B16" t="s">
        <v>72</v>
      </c>
    </row>
    <row r="17" spans="1:4" x14ac:dyDescent="0.45">
      <c r="A17" s="13"/>
    </row>
    <row r="18" spans="1:4" x14ac:dyDescent="0.45">
      <c r="A18" s="13"/>
      <c r="B18" t="s">
        <v>73</v>
      </c>
    </row>
    <row r="19" spans="1:4" x14ac:dyDescent="0.45">
      <c r="A19" s="13"/>
      <c r="C19" t="s">
        <v>4</v>
      </c>
    </row>
    <row r="20" spans="1:4" x14ac:dyDescent="0.45">
      <c r="A20" s="13"/>
      <c r="D20" t="s">
        <v>74</v>
      </c>
    </row>
    <row r="21" spans="1:4" x14ac:dyDescent="0.45">
      <c r="A21" s="13"/>
    </row>
    <row r="22" spans="1:4" x14ac:dyDescent="0.45">
      <c r="A22" s="13"/>
      <c r="C22" t="s">
        <v>51</v>
      </c>
    </row>
    <row r="23" spans="1:4" x14ac:dyDescent="0.45">
      <c r="A23" s="13"/>
      <c r="D23" t="s">
        <v>75</v>
      </c>
    </row>
    <row r="24" spans="1:4" x14ac:dyDescent="0.45">
      <c r="A24" s="13"/>
    </row>
    <row r="25" spans="1:4" x14ac:dyDescent="0.45">
      <c r="A25" s="13" t="s">
        <v>76</v>
      </c>
    </row>
    <row r="26" spans="1:4" x14ac:dyDescent="0.45">
      <c r="A26" s="13"/>
      <c r="B26" t="s">
        <v>77</v>
      </c>
    </row>
    <row r="27" spans="1:4" x14ac:dyDescent="0.45">
      <c r="A27" s="13"/>
    </row>
    <row r="28" spans="1:4" x14ac:dyDescent="0.45">
      <c r="B28" t="s">
        <v>804</v>
      </c>
    </row>
    <row r="29" spans="1:4" x14ac:dyDescent="0.45">
      <c r="C29" s="26" t="s">
        <v>805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D7594-01EF-4FC3-AE2A-A40F0462E395}">
  <dimension ref="A1:N15"/>
  <sheetViews>
    <sheetView workbookViewId="0">
      <selection activeCell="N4" sqref="N4"/>
    </sheetView>
  </sheetViews>
  <sheetFormatPr defaultRowHeight="14.25" x14ac:dyDescent="0.45"/>
  <cols>
    <col min="1" max="1" width="40.86328125" bestFit="1" customWidth="1"/>
    <col min="2" max="2" width="9.53125" bestFit="1" customWidth="1"/>
    <col min="10" max="10" width="9.53125" bestFit="1" customWidth="1"/>
    <col min="11" max="11" width="14" bestFit="1" customWidth="1"/>
    <col min="12" max="12" width="25.46484375" bestFit="1" customWidth="1"/>
    <col min="13" max="13" width="23.6640625" bestFit="1" customWidth="1"/>
    <col min="14" max="14" width="19.46484375" bestFit="1" customWidth="1"/>
  </cols>
  <sheetData>
    <row r="1" spans="1:14" x14ac:dyDescent="0.45">
      <c r="I1" s="16" t="s">
        <v>78</v>
      </c>
    </row>
    <row r="2" spans="1:14" x14ac:dyDescent="0.45">
      <c r="A2" t="s">
        <v>56</v>
      </c>
      <c r="B2" t="s">
        <v>57</v>
      </c>
      <c r="J2" t="s">
        <v>79</v>
      </c>
      <c r="K2" t="s">
        <v>80</v>
      </c>
      <c r="L2" t="s">
        <v>81</v>
      </c>
      <c r="M2" t="s">
        <v>82</v>
      </c>
      <c r="N2" t="s">
        <v>83</v>
      </c>
    </row>
    <row r="3" spans="1:14" x14ac:dyDescent="0.45">
      <c r="A3" t="s">
        <v>58</v>
      </c>
      <c r="B3" t="s">
        <v>59</v>
      </c>
      <c r="J3" s="12">
        <v>45036</v>
      </c>
      <c r="K3" t="s">
        <v>84</v>
      </c>
      <c r="L3" t="s">
        <v>85</v>
      </c>
      <c r="M3" t="s">
        <v>86</v>
      </c>
      <c r="N3" t="s">
        <v>87</v>
      </c>
    </row>
    <row r="4" spans="1:14" x14ac:dyDescent="0.45">
      <c r="A4" t="s">
        <v>60</v>
      </c>
      <c r="B4">
        <v>800</v>
      </c>
      <c r="J4" s="12">
        <v>45070</v>
      </c>
      <c r="K4" t="s">
        <v>84</v>
      </c>
      <c r="L4" t="s">
        <v>807</v>
      </c>
      <c r="M4" t="s">
        <v>808</v>
      </c>
      <c r="N4" t="s">
        <v>809</v>
      </c>
    </row>
    <row r="5" spans="1:14" x14ac:dyDescent="0.45">
      <c r="A5" t="s">
        <v>61</v>
      </c>
      <c r="B5">
        <v>118</v>
      </c>
    </row>
    <row r="6" spans="1:14" x14ac:dyDescent="0.45">
      <c r="A6" t="s">
        <v>63</v>
      </c>
      <c r="B6" t="s">
        <v>62</v>
      </c>
    </row>
    <row r="7" spans="1:14" x14ac:dyDescent="0.45">
      <c r="A7" t="s">
        <v>65</v>
      </c>
      <c r="B7" t="s">
        <v>64</v>
      </c>
    </row>
    <row r="8" spans="1:14" x14ac:dyDescent="0.45">
      <c r="A8" t="s">
        <v>69</v>
      </c>
      <c r="B8" s="12">
        <v>45021</v>
      </c>
    </row>
    <row r="9" spans="1:14" x14ac:dyDescent="0.45">
      <c r="A9" t="s">
        <v>66</v>
      </c>
      <c r="B9" t="s">
        <v>67</v>
      </c>
    </row>
    <row r="10" spans="1:14" x14ac:dyDescent="0.45">
      <c r="A10" t="s">
        <v>68</v>
      </c>
      <c r="B10" t="s">
        <v>88</v>
      </c>
    </row>
    <row r="11" spans="1:14" x14ac:dyDescent="0.45">
      <c r="A11" t="s">
        <v>89</v>
      </c>
      <c r="B11" t="s">
        <v>90</v>
      </c>
    </row>
    <row r="12" spans="1:14" x14ac:dyDescent="0.45">
      <c r="A12" t="s">
        <v>91</v>
      </c>
      <c r="B12" t="s">
        <v>92</v>
      </c>
    </row>
    <row r="13" spans="1:14" x14ac:dyDescent="0.45">
      <c r="A13" t="s">
        <v>93</v>
      </c>
      <c r="B13" t="s">
        <v>94</v>
      </c>
    </row>
    <row r="14" spans="1:14" x14ac:dyDescent="0.45">
      <c r="A14" t="s">
        <v>95</v>
      </c>
      <c r="B14" s="12">
        <v>45055</v>
      </c>
      <c r="C14" t="s">
        <v>96</v>
      </c>
    </row>
    <row r="15" spans="1:14" x14ac:dyDescent="0.45">
      <c r="A15" t="s">
        <v>810</v>
      </c>
      <c r="B15" s="12">
        <v>45199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5B352-F8A1-4C48-8655-33B8CE1C3851}">
  <sheetPr>
    <pageSetUpPr fitToPage="1"/>
  </sheetPr>
  <dimension ref="A1:DH68"/>
  <sheetViews>
    <sheetView zoomScaleNormal="100" workbookViewId="0">
      <selection activeCell="U11" sqref="U11"/>
    </sheetView>
  </sheetViews>
  <sheetFormatPr defaultRowHeight="14.25" x14ac:dyDescent="0.45"/>
  <cols>
    <col min="3" max="36" width="4.796875" customWidth="1"/>
    <col min="37" max="37" width="2.6640625" customWidth="1"/>
    <col min="38" max="42" width="3.33203125" customWidth="1"/>
    <col min="43" max="44" width="8.86328125" customWidth="1"/>
    <col min="45" max="112" width="2.796875" customWidth="1"/>
  </cols>
  <sheetData>
    <row r="1" spans="1:112" ht="23.25" x14ac:dyDescent="0.7">
      <c r="A1" s="1" t="s">
        <v>4</v>
      </c>
      <c r="K1" s="29" t="s">
        <v>5</v>
      </c>
      <c r="L1" s="29"/>
      <c r="M1" s="29"/>
      <c r="N1" s="29"/>
      <c r="O1" s="29"/>
      <c r="P1" s="29"/>
      <c r="Q1" s="29"/>
      <c r="R1" s="29"/>
      <c r="S1" s="29"/>
      <c r="AI1">
        <v>29</v>
      </c>
      <c r="AQ1" s="1" t="s">
        <v>51</v>
      </c>
      <c r="BY1" s="19" t="s">
        <v>5</v>
      </c>
      <c r="BZ1" s="19"/>
      <c r="CA1" s="19"/>
      <c r="CB1" s="19"/>
    </row>
    <row r="2" spans="1:112" ht="14.65" thickBot="1" x14ac:dyDescent="0.5"/>
    <row r="3" spans="1:112" ht="36" customHeight="1" x14ac:dyDescent="0.45">
      <c r="C3" s="4">
        <v>1001</v>
      </c>
      <c r="D3" s="30" t="s">
        <v>8</v>
      </c>
      <c r="E3" s="31"/>
      <c r="F3" s="31"/>
      <c r="G3" s="31"/>
      <c r="H3" s="31"/>
      <c r="I3" s="31"/>
      <c r="J3" s="31"/>
      <c r="AS3" s="10" t="s">
        <v>52</v>
      </c>
      <c r="AT3" s="30" t="s">
        <v>53</v>
      </c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</row>
    <row r="4" spans="1:112" ht="25.5" x14ac:dyDescent="0.75">
      <c r="C4" s="3" t="s">
        <v>6</v>
      </c>
      <c r="AQ4" s="17"/>
    </row>
    <row r="5" spans="1:112" hidden="1" x14ac:dyDescent="0.45">
      <c r="AR5" t="s">
        <v>14</v>
      </c>
      <c r="AS5" t="s">
        <v>15</v>
      </c>
      <c r="AT5" t="s">
        <v>15</v>
      </c>
      <c r="AU5" t="s">
        <v>16</v>
      </c>
      <c r="AV5" t="s">
        <v>16</v>
      </c>
      <c r="AW5" t="s">
        <v>17</v>
      </c>
      <c r="AX5" t="s">
        <v>17</v>
      </c>
      <c r="AY5" t="s">
        <v>18</v>
      </c>
      <c r="AZ5" t="s">
        <v>18</v>
      </c>
      <c r="BA5" t="s">
        <v>19</v>
      </c>
      <c r="BB5" t="s">
        <v>19</v>
      </c>
      <c r="BC5" t="s">
        <v>20</v>
      </c>
      <c r="BD5" t="s">
        <v>20</v>
      </c>
      <c r="BE5" t="s">
        <v>21</v>
      </c>
      <c r="BF5" t="s">
        <v>21</v>
      </c>
      <c r="BG5" t="s">
        <v>22</v>
      </c>
      <c r="BH5" t="s">
        <v>22</v>
      </c>
      <c r="BI5" t="s">
        <v>23</v>
      </c>
      <c r="BJ5" t="s">
        <v>23</v>
      </c>
      <c r="BK5" t="s">
        <v>24</v>
      </c>
      <c r="BL5" t="s">
        <v>24</v>
      </c>
      <c r="BM5" t="s">
        <v>25</v>
      </c>
      <c r="BN5" t="s">
        <v>25</v>
      </c>
      <c r="BO5" t="s">
        <v>26</v>
      </c>
      <c r="BP5" t="s">
        <v>26</v>
      </c>
      <c r="BQ5" t="s">
        <v>27</v>
      </c>
      <c r="BR5" t="s">
        <v>27</v>
      </c>
      <c r="BS5" t="s">
        <v>28</v>
      </c>
      <c r="BT5" t="s">
        <v>28</v>
      </c>
      <c r="BU5" t="s">
        <v>29</v>
      </c>
      <c r="BV5" t="s">
        <v>29</v>
      </c>
      <c r="BW5" t="s">
        <v>30</v>
      </c>
      <c r="BX5" t="s">
        <v>30</v>
      </c>
      <c r="BY5" t="s">
        <v>31</v>
      </c>
      <c r="BZ5" t="s">
        <v>31</v>
      </c>
      <c r="CA5" t="s">
        <v>32</v>
      </c>
      <c r="CB5" t="s">
        <v>32</v>
      </c>
      <c r="CC5" t="s">
        <v>33</v>
      </c>
      <c r="CD5" t="s">
        <v>33</v>
      </c>
      <c r="CE5" t="s">
        <v>34</v>
      </c>
      <c r="CF5" t="s">
        <v>34</v>
      </c>
      <c r="CG5" t="s">
        <v>35</v>
      </c>
      <c r="CH5" t="s">
        <v>35</v>
      </c>
      <c r="CI5" t="s">
        <v>36</v>
      </c>
      <c r="CJ5" t="s">
        <v>36</v>
      </c>
      <c r="CK5" t="s">
        <v>37</v>
      </c>
      <c r="CL5" t="s">
        <v>37</v>
      </c>
      <c r="CM5" t="s">
        <v>38</v>
      </c>
      <c r="CN5" t="s">
        <v>38</v>
      </c>
      <c r="CO5" t="s">
        <v>39</v>
      </c>
      <c r="CP5" t="s">
        <v>39</v>
      </c>
      <c r="CQ5" t="s">
        <v>40</v>
      </c>
      <c r="CR5" t="s">
        <v>40</v>
      </c>
      <c r="CS5" t="s">
        <v>41</v>
      </c>
      <c r="CT5" t="s">
        <v>41</v>
      </c>
      <c r="CU5" t="s">
        <v>44</v>
      </c>
      <c r="CV5" t="s">
        <v>44</v>
      </c>
      <c r="CW5" t="s">
        <v>45</v>
      </c>
      <c r="CX5" t="s">
        <v>45</v>
      </c>
      <c r="CY5" t="s">
        <v>46</v>
      </c>
      <c r="CZ5" t="s">
        <v>46</v>
      </c>
      <c r="DA5" t="s">
        <v>47</v>
      </c>
      <c r="DB5" t="s">
        <v>47</v>
      </c>
      <c r="DC5" t="s">
        <v>48</v>
      </c>
      <c r="DD5" t="s">
        <v>48</v>
      </c>
      <c r="DE5" t="s">
        <v>49</v>
      </c>
      <c r="DF5" t="s">
        <v>49</v>
      </c>
      <c r="DG5" t="s">
        <v>50</v>
      </c>
      <c r="DH5" t="s">
        <v>50</v>
      </c>
    </row>
    <row r="6" spans="1:112" hidden="1" x14ac:dyDescent="0.45">
      <c r="AR6" t="s">
        <v>42</v>
      </c>
      <c r="AS6">
        <v>9</v>
      </c>
      <c r="AT6">
        <v>9</v>
      </c>
      <c r="AU6">
        <v>9</v>
      </c>
      <c r="AV6">
        <v>9</v>
      </c>
      <c r="AW6">
        <v>9</v>
      </c>
      <c r="AX6">
        <v>9</v>
      </c>
      <c r="AY6">
        <v>9</v>
      </c>
      <c r="AZ6">
        <v>9</v>
      </c>
      <c r="BA6">
        <v>9</v>
      </c>
      <c r="BB6">
        <v>9</v>
      </c>
      <c r="BC6">
        <v>9</v>
      </c>
      <c r="BD6">
        <v>9</v>
      </c>
      <c r="BE6">
        <v>9</v>
      </c>
      <c r="BF6">
        <v>9</v>
      </c>
      <c r="BG6">
        <v>9</v>
      </c>
      <c r="BH6">
        <v>9</v>
      </c>
      <c r="BI6">
        <v>9</v>
      </c>
      <c r="BJ6">
        <v>9</v>
      </c>
      <c r="BK6">
        <v>9</v>
      </c>
      <c r="BL6">
        <v>9</v>
      </c>
      <c r="BM6">
        <v>9</v>
      </c>
      <c r="BN6">
        <v>9</v>
      </c>
      <c r="BO6">
        <v>9</v>
      </c>
      <c r="BP6">
        <v>9</v>
      </c>
      <c r="BQ6">
        <v>9</v>
      </c>
      <c r="BR6">
        <v>9</v>
      </c>
      <c r="BS6">
        <v>9</v>
      </c>
      <c r="BT6">
        <v>9</v>
      </c>
      <c r="BU6">
        <v>9</v>
      </c>
      <c r="BV6">
        <v>9</v>
      </c>
      <c r="BW6">
        <v>9</v>
      </c>
      <c r="BX6">
        <v>9</v>
      </c>
      <c r="BY6">
        <v>9</v>
      </c>
      <c r="BZ6">
        <v>9</v>
      </c>
      <c r="CA6">
        <v>9</v>
      </c>
      <c r="CB6">
        <v>9</v>
      </c>
      <c r="CC6">
        <v>9</v>
      </c>
      <c r="CD6">
        <v>9</v>
      </c>
      <c r="CE6">
        <v>9</v>
      </c>
      <c r="CF6">
        <v>9</v>
      </c>
      <c r="CG6">
        <v>9</v>
      </c>
      <c r="CH6">
        <v>9</v>
      </c>
      <c r="CI6">
        <v>9</v>
      </c>
      <c r="CJ6">
        <v>9</v>
      </c>
      <c r="CK6">
        <v>9</v>
      </c>
      <c r="CL6">
        <v>9</v>
      </c>
      <c r="CM6">
        <v>9</v>
      </c>
      <c r="CN6">
        <v>9</v>
      </c>
      <c r="CO6">
        <v>9</v>
      </c>
      <c r="CP6">
        <v>9</v>
      </c>
      <c r="CQ6">
        <v>9</v>
      </c>
      <c r="CR6">
        <v>9</v>
      </c>
      <c r="CS6">
        <v>9</v>
      </c>
      <c r="CT6">
        <v>9</v>
      </c>
      <c r="CU6">
        <v>9</v>
      </c>
      <c r="CV6">
        <v>9</v>
      </c>
      <c r="CW6">
        <v>9</v>
      </c>
      <c r="CX6">
        <v>9</v>
      </c>
      <c r="CY6">
        <v>9</v>
      </c>
      <c r="CZ6">
        <v>9</v>
      </c>
      <c r="DA6">
        <v>9</v>
      </c>
      <c r="DB6">
        <v>9</v>
      </c>
      <c r="DC6">
        <v>9</v>
      </c>
      <c r="DD6">
        <v>9</v>
      </c>
      <c r="DE6">
        <v>9</v>
      </c>
      <c r="DF6">
        <v>9</v>
      </c>
      <c r="DG6">
        <v>9</v>
      </c>
      <c r="DH6">
        <v>9</v>
      </c>
    </row>
    <row r="7" spans="1:112" x14ac:dyDescent="0.45">
      <c r="A7" s="18" t="s">
        <v>97</v>
      </c>
      <c r="B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R7" s="3" t="s">
        <v>11</v>
      </c>
      <c r="AS7" s="27">
        <v>34</v>
      </c>
      <c r="AT7" s="28"/>
      <c r="AU7" s="27">
        <v>33</v>
      </c>
      <c r="AV7" s="28"/>
      <c r="AW7" s="27">
        <v>32</v>
      </c>
      <c r="AX7" s="28"/>
      <c r="AY7" s="27">
        <v>31</v>
      </c>
      <c r="AZ7" s="28"/>
      <c r="BA7" s="27">
        <v>30</v>
      </c>
      <c r="BB7" s="28"/>
      <c r="BC7" s="27">
        <v>29</v>
      </c>
      <c r="BD7" s="28"/>
      <c r="BE7" s="27">
        <v>28</v>
      </c>
      <c r="BF7" s="28"/>
      <c r="BG7" s="27">
        <v>27</v>
      </c>
      <c r="BH7" s="28"/>
      <c r="BI7" s="27">
        <v>26</v>
      </c>
      <c r="BJ7" s="28"/>
      <c r="BK7" s="27">
        <v>25</v>
      </c>
      <c r="BL7" s="28"/>
      <c r="BM7" s="27">
        <v>24</v>
      </c>
      <c r="BN7" s="28"/>
      <c r="BO7" s="27">
        <v>23</v>
      </c>
      <c r="BP7" s="28"/>
      <c r="BQ7" s="27">
        <v>22</v>
      </c>
      <c r="BR7" s="28"/>
      <c r="BS7" s="27">
        <v>21</v>
      </c>
      <c r="BT7" s="28"/>
      <c r="BU7" s="27">
        <v>20</v>
      </c>
      <c r="BV7" s="28"/>
      <c r="BW7" s="27">
        <v>19</v>
      </c>
      <c r="BX7" s="28"/>
      <c r="BY7" s="27">
        <v>18</v>
      </c>
      <c r="BZ7" s="28"/>
      <c r="CA7" s="27">
        <v>17</v>
      </c>
      <c r="CB7" s="28"/>
      <c r="CC7" s="27">
        <v>16</v>
      </c>
      <c r="CD7" s="28"/>
      <c r="CE7" s="27">
        <v>15</v>
      </c>
      <c r="CF7" s="28"/>
      <c r="CG7" s="27">
        <v>14</v>
      </c>
      <c r="CH7" s="28"/>
      <c r="CI7" s="27">
        <v>13</v>
      </c>
      <c r="CJ7" s="28"/>
      <c r="CK7" s="27">
        <v>12</v>
      </c>
      <c r="CL7" s="28"/>
      <c r="CM7" s="27">
        <v>11</v>
      </c>
      <c r="CN7" s="28"/>
      <c r="CO7" s="27">
        <v>10</v>
      </c>
      <c r="CP7" s="28"/>
      <c r="CQ7" s="27">
        <v>9</v>
      </c>
      <c r="CR7" s="28"/>
      <c r="CS7" s="27">
        <v>8</v>
      </c>
      <c r="CT7" s="28"/>
      <c r="CU7" s="27">
        <v>7</v>
      </c>
      <c r="CV7" s="28"/>
      <c r="CW7" s="27">
        <v>6</v>
      </c>
      <c r="CX7" s="28"/>
      <c r="CY7" s="27">
        <v>5</v>
      </c>
      <c r="CZ7" s="28"/>
      <c r="DA7" s="27">
        <v>4</v>
      </c>
      <c r="DB7" s="28"/>
      <c r="DC7" s="27">
        <v>3</v>
      </c>
      <c r="DD7" s="28"/>
      <c r="DE7" s="27">
        <v>2</v>
      </c>
      <c r="DF7" s="28"/>
      <c r="DG7" s="32">
        <v>1</v>
      </c>
      <c r="DH7" s="32"/>
    </row>
    <row r="8" spans="1:112" ht="15.4" x14ac:dyDescent="0.45">
      <c r="A8" s="2"/>
      <c r="B8" s="2"/>
      <c r="C8" s="3">
        <v>34</v>
      </c>
      <c r="D8" s="3">
        <v>33</v>
      </c>
      <c r="E8" s="3">
        <v>32</v>
      </c>
      <c r="F8" s="3">
        <v>31</v>
      </c>
      <c r="G8" s="3">
        <v>30</v>
      </c>
      <c r="H8" s="3">
        <v>29</v>
      </c>
      <c r="I8" s="3">
        <v>28</v>
      </c>
      <c r="J8" s="3">
        <v>27</v>
      </c>
      <c r="K8" s="3">
        <v>26</v>
      </c>
      <c r="L8" s="3">
        <v>25</v>
      </c>
      <c r="M8" s="3">
        <v>24</v>
      </c>
      <c r="N8" s="3">
        <v>23</v>
      </c>
      <c r="O8" s="3">
        <v>22</v>
      </c>
      <c r="P8" s="3">
        <v>21</v>
      </c>
      <c r="Q8" s="3">
        <v>20</v>
      </c>
      <c r="R8" s="3">
        <v>19</v>
      </c>
      <c r="S8" s="3">
        <v>18</v>
      </c>
      <c r="T8" s="3">
        <v>17</v>
      </c>
      <c r="U8" s="3">
        <v>16</v>
      </c>
      <c r="V8" s="3">
        <v>15</v>
      </c>
      <c r="W8" s="3">
        <v>14</v>
      </c>
      <c r="X8" s="3">
        <v>13</v>
      </c>
      <c r="Y8" s="3">
        <v>12</v>
      </c>
      <c r="Z8" s="3">
        <v>11</v>
      </c>
      <c r="AA8" s="3">
        <v>10</v>
      </c>
      <c r="AB8" s="3">
        <v>9</v>
      </c>
      <c r="AC8" s="3">
        <v>8</v>
      </c>
      <c r="AD8" s="3">
        <v>7</v>
      </c>
      <c r="AE8" s="3">
        <v>6</v>
      </c>
      <c r="AF8" s="3">
        <v>5</v>
      </c>
      <c r="AG8" s="3">
        <v>4</v>
      </c>
      <c r="AH8" s="3">
        <v>3</v>
      </c>
      <c r="AI8" s="3">
        <v>2</v>
      </c>
      <c r="AJ8" s="3">
        <v>1</v>
      </c>
      <c r="AR8" s="3" t="s">
        <v>43</v>
      </c>
      <c r="AS8" s="20">
        <v>68</v>
      </c>
      <c r="AT8" s="21">
        <v>67</v>
      </c>
      <c r="AU8" s="20">
        <v>66</v>
      </c>
      <c r="AV8" s="21">
        <v>65</v>
      </c>
      <c r="AW8" s="20">
        <v>64</v>
      </c>
      <c r="AX8" s="21">
        <v>63</v>
      </c>
      <c r="AY8" s="20">
        <v>62</v>
      </c>
      <c r="AZ8" s="21">
        <v>61</v>
      </c>
      <c r="BA8" s="20">
        <v>60</v>
      </c>
      <c r="BB8" s="21">
        <v>59</v>
      </c>
      <c r="BC8" s="20">
        <v>58</v>
      </c>
      <c r="BD8" s="21">
        <v>57</v>
      </c>
      <c r="BE8" s="20">
        <v>56</v>
      </c>
      <c r="BF8" s="21">
        <v>55</v>
      </c>
      <c r="BG8" s="20">
        <v>54</v>
      </c>
      <c r="BH8" s="21">
        <v>53</v>
      </c>
      <c r="BI8" s="20">
        <v>52</v>
      </c>
      <c r="BJ8" s="21">
        <v>51</v>
      </c>
      <c r="BK8" s="20">
        <v>50</v>
      </c>
      <c r="BL8" s="21">
        <v>49</v>
      </c>
      <c r="BM8" s="20">
        <v>48</v>
      </c>
      <c r="BN8" s="21">
        <v>47</v>
      </c>
      <c r="BO8" s="20">
        <v>46</v>
      </c>
      <c r="BP8" s="21">
        <v>45</v>
      </c>
      <c r="BQ8" s="20">
        <v>44</v>
      </c>
      <c r="BR8" s="21">
        <v>43</v>
      </c>
      <c r="BS8" s="20">
        <v>42</v>
      </c>
      <c r="BT8" s="21">
        <v>41</v>
      </c>
      <c r="BU8" s="20">
        <v>40</v>
      </c>
      <c r="BV8" s="21">
        <v>39</v>
      </c>
      <c r="BW8" s="20">
        <v>38</v>
      </c>
      <c r="BX8" s="21">
        <v>37</v>
      </c>
      <c r="BY8" s="20">
        <v>36</v>
      </c>
      <c r="BZ8" s="21">
        <v>35</v>
      </c>
      <c r="CA8" s="20">
        <v>34</v>
      </c>
      <c r="CB8" s="21">
        <v>33</v>
      </c>
      <c r="CC8" s="20">
        <v>32</v>
      </c>
      <c r="CD8" s="21">
        <v>31</v>
      </c>
      <c r="CE8" s="20">
        <v>30</v>
      </c>
      <c r="CF8" s="21">
        <v>29</v>
      </c>
      <c r="CG8" s="20">
        <v>28</v>
      </c>
      <c r="CH8" s="21">
        <v>27</v>
      </c>
      <c r="CI8" s="20">
        <v>26</v>
      </c>
      <c r="CJ8" s="21">
        <v>25</v>
      </c>
      <c r="CK8" s="20">
        <v>24</v>
      </c>
      <c r="CL8" s="21">
        <v>23</v>
      </c>
      <c r="CM8" s="20">
        <v>22</v>
      </c>
      <c r="CN8" s="21">
        <v>21</v>
      </c>
      <c r="CO8" s="20">
        <v>20</v>
      </c>
      <c r="CP8" s="21">
        <v>19</v>
      </c>
      <c r="CQ8" s="20">
        <v>18</v>
      </c>
      <c r="CR8" s="21">
        <v>17</v>
      </c>
      <c r="CS8" s="20">
        <v>16</v>
      </c>
      <c r="CT8" s="21">
        <v>15</v>
      </c>
      <c r="CU8" s="20">
        <v>14</v>
      </c>
      <c r="CV8" s="21">
        <v>13</v>
      </c>
      <c r="CW8" s="20">
        <v>12</v>
      </c>
      <c r="CX8" s="21">
        <v>11</v>
      </c>
      <c r="CY8" s="20">
        <v>10</v>
      </c>
      <c r="CZ8" s="21">
        <v>9</v>
      </c>
      <c r="DA8" s="20">
        <v>8</v>
      </c>
      <c r="DB8" s="21">
        <v>7</v>
      </c>
      <c r="DC8" s="20">
        <v>6</v>
      </c>
      <c r="DD8" s="21">
        <v>5</v>
      </c>
      <c r="DE8" s="20">
        <v>4</v>
      </c>
      <c r="DF8" s="21">
        <v>3</v>
      </c>
      <c r="DG8" s="24">
        <v>2</v>
      </c>
      <c r="DH8" s="24">
        <v>1</v>
      </c>
    </row>
    <row r="9" spans="1:112" ht="40.049999999999997" customHeight="1" x14ac:dyDescent="0.45">
      <c r="A9" s="3" t="s">
        <v>7</v>
      </c>
      <c r="B9" s="3">
        <v>1</v>
      </c>
      <c r="C9" s="11" t="s">
        <v>9</v>
      </c>
      <c r="D9" s="11" t="s">
        <v>9</v>
      </c>
      <c r="E9" s="11" t="s">
        <v>9</v>
      </c>
      <c r="F9" s="11" t="s">
        <v>9</v>
      </c>
      <c r="G9" s="11" t="s">
        <v>9</v>
      </c>
      <c r="H9" s="11" t="s">
        <v>9</v>
      </c>
      <c r="I9" s="11" t="s">
        <v>9</v>
      </c>
      <c r="J9" s="11" t="s">
        <v>9</v>
      </c>
      <c r="K9" s="11" t="s">
        <v>9</v>
      </c>
      <c r="L9" s="11" t="s">
        <v>9</v>
      </c>
      <c r="M9" s="11" t="s">
        <v>9</v>
      </c>
      <c r="N9" s="11" t="s">
        <v>9</v>
      </c>
      <c r="O9" s="11" t="s">
        <v>9</v>
      </c>
      <c r="P9" s="11" t="s">
        <v>9</v>
      </c>
      <c r="Q9" s="11" t="s">
        <v>9</v>
      </c>
      <c r="R9" s="11" t="s">
        <v>9</v>
      </c>
      <c r="S9" s="11" t="s">
        <v>9</v>
      </c>
      <c r="T9" s="11" t="s">
        <v>9</v>
      </c>
      <c r="U9" s="11" t="s">
        <v>9</v>
      </c>
      <c r="V9" s="11" t="s">
        <v>9</v>
      </c>
      <c r="W9" s="11" t="s">
        <v>9</v>
      </c>
      <c r="X9" s="11" t="s">
        <v>9</v>
      </c>
      <c r="Y9" s="11" t="s">
        <v>9</v>
      </c>
      <c r="Z9" s="11" t="s">
        <v>9</v>
      </c>
      <c r="AA9" s="11" t="s">
        <v>9</v>
      </c>
      <c r="AB9" s="11" t="s">
        <v>9</v>
      </c>
      <c r="AC9" s="11" t="s">
        <v>9</v>
      </c>
      <c r="AD9" s="11" t="s">
        <v>9</v>
      </c>
      <c r="AE9" s="11" t="s">
        <v>9</v>
      </c>
      <c r="AF9" s="11" t="s">
        <v>9</v>
      </c>
      <c r="AG9" s="11" t="s">
        <v>9</v>
      </c>
      <c r="AH9" s="11" t="s">
        <v>9</v>
      </c>
      <c r="AI9" s="11" t="s">
        <v>9</v>
      </c>
      <c r="AJ9" s="11" t="s">
        <v>9</v>
      </c>
      <c r="AQ9" s="3" t="s">
        <v>7</v>
      </c>
      <c r="AR9" s="3">
        <v>1</v>
      </c>
      <c r="AS9" s="22" t="str" cm="1">
        <f t="array" aca="1" ref="AS9" ca="1">INDIRECT(AS$5&amp;$AR9+8)</f>
        <v>Border</v>
      </c>
      <c r="AT9" s="23" t="str" cm="1">
        <f t="array" aca="1" ref="AT9" ca="1">INDIRECT(AT$5&amp;$AR9+8)</f>
        <v>Border</v>
      </c>
      <c r="AU9" s="22" t="str" cm="1">
        <f t="array" aca="1" ref="AU9" ca="1">INDIRECT(AU$5&amp;$AR9+8)</f>
        <v>Border</v>
      </c>
      <c r="AV9" s="23" t="str" cm="1">
        <f t="array" aca="1" ref="AV9" ca="1">INDIRECT(AV$5&amp;$AR9+8)</f>
        <v>Border</v>
      </c>
      <c r="AW9" s="22" t="str" cm="1">
        <f t="array" aca="1" ref="AW9" ca="1">INDIRECT(AW$5&amp;$AR9+8)</f>
        <v>Border</v>
      </c>
      <c r="AX9" s="23" t="str" cm="1">
        <f t="array" aca="1" ref="AX9" ca="1">INDIRECT(AX$5&amp;$AR9+8)</f>
        <v>Border</v>
      </c>
      <c r="AY9" s="22" t="str" cm="1">
        <f t="array" aca="1" ref="AY9" ca="1">INDIRECT(AY$5&amp;$AR9+8)</f>
        <v>Border</v>
      </c>
      <c r="AZ9" s="23" t="str" cm="1">
        <f t="array" aca="1" ref="AZ9" ca="1">INDIRECT(AZ$5&amp;$AR9+8)</f>
        <v>Border</v>
      </c>
      <c r="BA9" s="22" t="str" cm="1">
        <f t="array" aca="1" ref="BA9" ca="1">INDIRECT(BA$5&amp;$AR9+8)</f>
        <v>Border</v>
      </c>
      <c r="BB9" s="23" t="str" cm="1">
        <f t="array" aca="1" ref="BB9" ca="1">INDIRECT(BB$5&amp;$AR9+8)</f>
        <v>Border</v>
      </c>
      <c r="BC9" s="22" t="str" cm="1">
        <f t="array" aca="1" ref="BC9" ca="1">INDIRECT(BC$5&amp;$AR9+8)</f>
        <v>Border</v>
      </c>
      <c r="BD9" s="23" t="str" cm="1">
        <f t="array" aca="1" ref="BD9" ca="1">INDIRECT(BD$5&amp;$AR9+8)</f>
        <v>Border</v>
      </c>
      <c r="BE9" s="22" t="str" cm="1">
        <f t="array" aca="1" ref="BE9" ca="1">INDIRECT(BE$5&amp;$AR9+8)</f>
        <v>Border</v>
      </c>
      <c r="BF9" s="23" t="str" cm="1">
        <f t="array" aca="1" ref="BF9" ca="1">INDIRECT(BF$5&amp;$AR9+8)</f>
        <v>Border</v>
      </c>
      <c r="BG9" s="22" t="str" cm="1">
        <f t="array" aca="1" ref="BG9" ca="1">INDIRECT(BG$5&amp;$AR9+8)</f>
        <v>Border</v>
      </c>
      <c r="BH9" s="23" t="str" cm="1">
        <f t="array" aca="1" ref="BH9" ca="1">INDIRECT(BH$5&amp;$AR9+8)</f>
        <v>Border</v>
      </c>
      <c r="BI9" s="22" t="str" cm="1">
        <f t="array" aca="1" ref="BI9" ca="1">INDIRECT(BI$5&amp;$AR9+8)</f>
        <v>Border</v>
      </c>
      <c r="BJ9" s="23" t="str" cm="1">
        <f t="array" aca="1" ref="BJ9" ca="1">INDIRECT(BJ$5&amp;$AR9+8)</f>
        <v>Border</v>
      </c>
      <c r="BK9" s="22" t="str" cm="1">
        <f t="array" aca="1" ref="BK9" ca="1">INDIRECT(BK$5&amp;$AR9+8)</f>
        <v>Border</v>
      </c>
      <c r="BL9" s="23" t="str" cm="1">
        <f t="array" aca="1" ref="BL9" ca="1">INDIRECT(BL$5&amp;$AR9+8)</f>
        <v>Border</v>
      </c>
      <c r="BM9" s="22" t="str" cm="1">
        <f t="array" aca="1" ref="BM9" ca="1">INDIRECT(BM$5&amp;$AR9+8)</f>
        <v>Border</v>
      </c>
      <c r="BN9" s="23" t="str" cm="1">
        <f t="array" aca="1" ref="BN9" ca="1">INDIRECT(BN$5&amp;$AR9+8)</f>
        <v>Border</v>
      </c>
      <c r="BO9" s="22" t="str" cm="1">
        <f t="array" aca="1" ref="BO9" ca="1">INDIRECT(BO$5&amp;$AR9+8)</f>
        <v>Border</v>
      </c>
      <c r="BP9" s="23" t="str" cm="1">
        <f t="array" aca="1" ref="BP9" ca="1">INDIRECT(BP$5&amp;$AR9+8)</f>
        <v>Border</v>
      </c>
      <c r="BQ9" s="22" t="str" cm="1">
        <f t="array" aca="1" ref="BQ9" ca="1">INDIRECT(BQ$5&amp;$AR9+8)</f>
        <v>Border</v>
      </c>
      <c r="BR9" s="23" t="str" cm="1">
        <f t="array" aca="1" ref="BR9" ca="1">INDIRECT(BR$5&amp;$AR9+8)</f>
        <v>Border</v>
      </c>
      <c r="BS9" s="22" t="str" cm="1">
        <f t="array" aca="1" ref="BS9" ca="1">INDIRECT(BS$5&amp;$AR9+8)</f>
        <v>Border</v>
      </c>
      <c r="BT9" s="23" t="str" cm="1">
        <f t="array" aca="1" ref="BT9" ca="1">INDIRECT(BT$5&amp;$AR9+8)</f>
        <v>Border</v>
      </c>
      <c r="BU9" s="22" t="str" cm="1">
        <f t="array" aca="1" ref="BU9" ca="1">INDIRECT(BU$5&amp;$AR9+8)</f>
        <v>Border</v>
      </c>
      <c r="BV9" s="23" t="str" cm="1">
        <f t="array" aca="1" ref="BV9" ca="1">INDIRECT(BV$5&amp;$AR9+8)</f>
        <v>Border</v>
      </c>
      <c r="BW9" s="22" t="str" cm="1">
        <f t="array" aca="1" ref="BW9" ca="1">INDIRECT(BW$5&amp;$AR9+8)</f>
        <v>Border</v>
      </c>
      <c r="BX9" s="23" t="str" cm="1">
        <f t="array" aca="1" ref="BX9" ca="1">INDIRECT(BX$5&amp;$AR9+8)</f>
        <v>Border</v>
      </c>
      <c r="BY9" s="22" t="str" cm="1">
        <f t="array" aca="1" ref="BY9" ca="1">INDIRECT(BY$5&amp;$AR9+8)</f>
        <v>Border</v>
      </c>
      <c r="BZ9" s="23" t="str" cm="1">
        <f t="array" aca="1" ref="BZ9" ca="1">INDIRECT(BZ$5&amp;$AR9+8)</f>
        <v>Border</v>
      </c>
      <c r="CA9" s="22" t="str" cm="1">
        <f t="array" aca="1" ref="CA9" ca="1">INDIRECT(CA$5&amp;$AR9+8)</f>
        <v>Border</v>
      </c>
      <c r="CB9" s="23" t="str" cm="1">
        <f t="array" aca="1" ref="CB9" ca="1">INDIRECT(CB$5&amp;$AR9+8)</f>
        <v>Border</v>
      </c>
      <c r="CC9" s="22" t="str" cm="1">
        <f t="array" aca="1" ref="CC9" ca="1">INDIRECT(CC$5&amp;$AR9+8)</f>
        <v>Border</v>
      </c>
      <c r="CD9" s="23" t="str" cm="1">
        <f t="array" aca="1" ref="CD9" ca="1">INDIRECT(CD$5&amp;$AR9+8)</f>
        <v>Border</v>
      </c>
      <c r="CE9" s="22" t="str" cm="1">
        <f t="array" aca="1" ref="CE9" ca="1">INDIRECT(CE$5&amp;$AR9+8)</f>
        <v>Border</v>
      </c>
      <c r="CF9" s="23" t="str" cm="1">
        <f t="array" aca="1" ref="CF9" ca="1">INDIRECT(CF$5&amp;$AR9+8)</f>
        <v>Border</v>
      </c>
      <c r="CG9" s="22" t="str" cm="1">
        <f t="array" aca="1" ref="CG9" ca="1">INDIRECT(CG$5&amp;$AR9+8)</f>
        <v>Border</v>
      </c>
      <c r="CH9" s="23" t="str" cm="1">
        <f t="array" aca="1" ref="CH9" ca="1">INDIRECT(CH$5&amp;$AR9+8)</f>
        <v>Border</v>
      </c>
      <c r="CI9" s="22" t="str" cm="1">
        <f t="array" aca="1" ref="CI9" ca="1">INDIRECT(CI$5&amp;$AR9+8)</f>
        <v>Border</v>
      </c>
      <c r="CJ9" s="23" t="str" cm="1">
        <f t="array" aca="1" ref="CJ9" ca="1">INDIRECT(CJ$5&amp;$AR9+8)</f>
        <v>Border</v>
      </c>
      <c r="CK9" s="22" t="str" cm="1">
        <f t="array" aca="1" ref="CK9" ca="1">INDIRECT(CK$5&amp;$AR9+8)</f>
        <v>Border</v>
      </c>
      <c r="CL9" s="23" t="str" cm="1">
        <f t="array" aca="1" ref="CL9" ca="1">INDIRECT(CL$5&amp;$AR9+8)</f>
        <v>Border</v>
      </c>
      <c r="CM9" s="22" t="str" cm="1">
        <f t="array" aca="1" ref="CM9" ca="1">INDIRECT(CM$5&amp;$AR9+8)</f>
        <v>Border</v>
      </c>
      <c r="CN9" s="23" t="str" cm="1">
        <f t="array" aca="1" ref="CN9" ca="1">INDIRECT(CN$5&amp;$AR9+8)</f>
        <v>Border</v>
      </c>
      <c r="CO9" s="22" t="str" cm="1">
        <f t="array" aca="1" ref="CO9" ca="1">INDIRECT(CO$5&amp;$AR9+8)</f>
        <v>Border</v>
      </c>
      <c r="CP9" s="23" t="str" cm="1">
        <f t="array" aca="1" ref="CP9" ca="1">INDIRECT(CP$5&amp;$AR9+8)</f>
        <v>Border</v>
      </c>
      <c r="CQ9" s="22" t="str" cm="1">
        <f t="array" aca="1" ref="CQ9" ca="1">INDIRECT(CQ$5&amp;$AR9+8)</f>
        <v>Border</v>
      </c>
      <c r="CR9" s="23" t="str" cm="1">
        <f t="array" aca="1" ref="CR9" ca="1">INDIRECT(CR$5&amp;$AR9+8)</f>
        <v>Border</v>
      </c>
      <c r="CS9" s="22" t="str" cm="1">
        <f t="array" aca="1" ref="CS9" ca="1">INDIRECT(CS$5&amp;$AR9+8)</f>
        <v>Border</v>
      </c>
      <c r="CT9" s="23" t="str" cm="1">
        <f t="array" aca="1" ref="CT9" ca="1">INDIRECT(CT$5&amp;$AR9+8)</f>
        <v>Border</v>
      </c>
      <c r="CU9" s="22" t="str" cm="1">
        <f t="array" aca="1" ref="CU9" ca="1">INDIRECT(CU$5&amp;$AR9+8)</f>
        <v>Border</v>
      </c>
      <c r="CV9" s="23" t="str" cm="1">
        <f t="array" aca="1" ref="CV9" ca="1">INDIRECT(CV$5&amp;$AR9+8)</f>
        <v>Border</v>
      </c>
      <c r="CW9" s="22" t="str" cm="1">
        <f t="array" aca="1" ref="CW9" ca="1">INDIRECT(CW$5&amp;$AR9+8)</f>
        <v>Border</v>
      </c>
      <c r="CX9" s="23" t="str" cm="1">
        <f t="array" aca="1" ref="CX9" ca="1">INDIRECT(CX$5&amp;$AR9+8)</f>
        <v>Border</v>
      </c>
      <c r="CY9" s="22" t="str" cm="1">
        <f t="array" aca="1" ref="CY9" ca="1">INDIRECT(CY$5&amp;$AR9+8)</f>
        <v>Border</v>
      </c>
      <c r="CZ9" s="23" t="str" cm="1">
        <f t="array" aca="1" ref="CZ9" ca="1">INDIRECT(CZ$5&amp;$AR9+8)</f>
        <v>Border</v>
      </c>
      <c r="DA9" s="22" t="str" cm="1">
        <f t="array" aca="1" ref="DA9" ca="1">INDIRECT(DA$5&amp;$AR9+8)</f>
        <v>Border</v>
      </c>
      <c r="DB9" s="23" t="str" cm="1">
        <f t="array" aca="1" ref="DB9" ca="1">INDIRECT(DB$5&amp;$AR9+8)</f>
        <v>Border</v>
      </c>
      <c r="DC9" s="22" t="str" cm="1">
        <f t="array" aca="1" ref="DC9" ca="1">INDIRECT(DC$5&amp;$AR9+8)</f>
        <v>Border</v>
      </c>
      <c r="DD9" s="23" t="str" cm="1">
        <f t="array" aca="1" ref="DD9" ca="1">INDIRECT(DD$5&amp;$AR9+8)</f>
        <v>Border</v>
      </c>
      <c r="DE9" s="22" t="str" cm="1">
        <f t="array" aca="1" ref="DE9" ca="1">INDIRECT(DE$5&amp;$AR9+8)</f>
        <v>Border</v>
      </c>
      <c r="DF9" s="23" t="str" cm="1">
        <f t="array" aca="1" ref="DF9" ca="1">INDIRECT(DF$5&amp;$AR9+8)</f>
        <v>Border</v>
      </c>
      <c r="DG9" s="25" t="str" cm="1">
        <f t="array" aca="1" ref="DG9" ca="1">INDIRECT(DG$5&amp;$AR9+8)</f>
        <v>Border</v>
      </c>
      <c r="DH9" s="25" t="str" cm="1">
        <f t="array" aca="1" ref="DH9" ca="1">INDIRECT(DH$5&amp;$AR9+8)</f>
        <v>Border</v>
      </c>
    </row>
    <row r="10" spans="1:112" ht="40.049999999999997" customHeight="1" x14ac:dyDescent="0.45">
      <c r="A10" s="2"/>
      <c r="B10" s="3">
        <v>2</v>
      </c>
      <c r="C10" s="11" t="s">
        <v>9</v>
      </c>
      <c r="D10" s="5">
        <f t="shared" ref="D10:AG11" si="0">E10+1</f>
        <v>2016</v>
      </c>
      <c r="E10" s="5">
        <f t="shared" si="0"/>
        <v>2015</v>
      </c>
      <c r="F10" s="5">
        <f t="shared" si="0"/>
        <v>2014</v>
      </c>
      <c r="G10" s="5">
        <f t="shared" si="0"/>
        <v>2013</v>
      </c>
      <c r="H10" s="5">
        <f t="shared" si="0"/>
        <v>2012</v>
      </c>
      <c r="I10" s="5">
        <f t="shared" si="0"/>
        <v>2011</v>
      </c>
      <c r="J10" s="5">
        <f t="shared" si="0"/>
        <v>2010</v>
      </c>
      <c r="K10" s="5">
        <f t="shared" si="0"/>
        <v>2009</v>
      </c>
      <c r="L10" s="5">
        <f t="shared" si="0"/>
        <v>2008</v>
      </c>
      <c r="M10" s="5">
        <f t="shared" si="0"/>
        <v>2007</v>
      </c>
      <c r="N10" s="5">
        <f t="shared" si="0"/>
        <v>2006</v>
      </c>
      <c r="O10" s="5">
        <f t="shared" si="0"/>
        <v>2005</v>
      </c>
      <c r="P10" s="5">
        <f t="shared" si="0"/>
        <v>2004</v>
      </c>
      <c r="Q10" s="5">
        <f t="shared" si="0"/>
        <v>2003</v>
      </c>
      <c r="R10" s="5">
        <f t="shared" si="0"/>
        <v>2002</v>
      </c>
      <c r="S10" s="5">
        <v>2001</v>
      </c>
      <c r="T10" s="4">
        <f t="shared" si="0"/>
        <v>1016</v>
      </c>
      <c r="U10" s="4">
        <f t="shared" si="0"/>
        <v>1015</v>
      </c>
      <c r="V10" s="4">
        <f t="shared" si="0"/>
        <v>1014</v>
      </c>
      <c r="W10" s="4">
        <f t="shared" si="0"/>
        <v>1013</v>
      </c>
      <c r="X10" s="4">
        <f t="shared" si="0"/>
        <v>1012</v>
      </c>
      <c r="Y10" s="4">
        <f t="shared" si="0"/>
        <v>1011</v>
      </c>
      <c r="Z10" s="4">
        <f t="shared" si="0"/>
        <v>1010</v>
      </c>
      <c r="AA10" s="4">
        <f t="shared" si="0"/>
        <v>1009</v>
      </c>
      <c r="AB10" s="4">
        <f t="shared" si="0"/>
        <v>1008</v>
      </c>
      <c r="AC10" s="4">
        <f t="shared" si="0"/>
        <v>1007</v>
      </c>
      <c r="AD10" s="4">
        <f t="shared" si="0"/>
        <v>1006</v>
      </c>
      <c r="AE10" s="4">
        <f t="shared" si="0"/>
        <v>1005</v>
      </c>
      <c r="AF10" s="4">
        <f t="shared" si="0"/>
        <v>1004</v>
      </c>
      <c r="AG10" s="4">
        <f t="shared" si="0"/>
        <v>1003</v>
      </c>
      <c r="AH10" s="4">
        <f>AI10+1</f>
        <v>1002</v>
      </c>
      <c r="AI10" s="4">
        <v>1001</v>
      </c>
      <c r="AJ10" s="11" t="s">
        <v>9</v>
      </c>
      <c r="AQ10" s="2"/>
      <c r="AR10" s="3">
        <v>2</v>
      </c>
      <c r="AS10" s="22" t="str" cm="1">
        <f t="array" aca="1" ref="AS10" ca="1">INDIRECT(AS$5&amp;$AR10+8)</f>
        <v>Border</v>
      </c>
      <c r="AT10" s="23" t="str" cm="1">
        <f t="array" aca="1" ref="AT10" ca="1">INDIRECT(AT$5&amp;$AR10+8)</f>
        <v>Border</v>
      </c>
      <c r="AU10" s="8" t="str" cm="1">
        <f t="array" aca="1" ref="AU10" ca="1">INDIRECT(AU$5&amp;$AR10+8)&amp;"-"&amp;1</f>
        <v>2016-1</v>
      </c>
      <c r="AV10" s="9" t="str" cm="1">
        <f t="array" aca="1" ref="AV10" ca="1">INDIRECT(AV$5&amp;$AR10+8)&amp;"-"&amp;2</f>
        <v>2016-2</v>
      </c>
      <c r="AW10" s="8" t="str" cm="1">
        <f t="array" aca="1" ref="AW10" ca="1">INDIRECT(AW$5&amp;$AR10+8)&amp;"-"&amp;1</f>
        <v>2015-1</v>
      </c>
      <c r="AX10" s="9" t="str" cm="1">
        <f t="array" aca="1" ref="AX10" ca="1">INDIRECT(AX$5&amp;$AR10+8)&amp;"-"&amp;2</f>
        <v>2015-2</v>
      </c>
      <c r="AY10" s="8" t="str" cm="1">
        <f t="array" aca="1" ref="AY10" ca="1">INDIRECT(AY$5&amp;$AR10+8)&amp;"-"&amp;1</f>
        <v>2014-1</v>
      </c>
      <c r="AZ10" s="9" t="str" cm="1">
        <f t="array" aca="1" ref="AZ10" ca="1">INDIRECT(AZ$5&amp;$AR10+8)&amp;"-"&amp;2</f>
        <v>2014-2</v>
      </c>
      <c r="BA10" s="8" t="str" cm="1">
        <f t="array" aca="1" ref="BA10" ca="1">INDIRECT(BA$5&amp;$AR10+8)&amp;"-"&amp;1</f>
        <v>2013-1</v>
      </c>
      <c r="BB10" s="9" t="str" cm="1">
        <f t="array" aca="1" ref="BB10" ca="1">INDIRECT(BB$5&amp;$AR10+8)&amp;"-"&amp;2</f>
        <v>2013-2</v>
      </c>
      <c r="BC10" s="8" t="str" cm="1">
        <f t="array" aca="1" ref="BC10" ca="1">INDIRECT(BC$5&amp;$AR10+8)&amp;"-"&amp;1</f>
        <v>2012-1</v>
      </c>
      <c r="BD10" s="9" t="str" cm="1">
        <f t="array" aca="1" ref="BD10" ca="1">INDIRECT(BD$5&amp;$AR10+8)&amp;"-"&amp;2</f>
        <v>2012-2</v>
      </c>
      <c r="BE10" s="8" t="str" cm="1">
        <f t="array" aca="1" ref="BE10" ca="1">INDIRECT(BE$5&amp;$AR10+8)&amp;"-"&amp;1</f>
        <v>2011-1</v>
      </c>
      <c r="BF10" s="9" t="str" cm="1">
        <f t="array" aca="1" ref="BF10" ca="1">INDIRECT(BF$5&amp;$AR10+8)&amp;"-"&amp;2</f>
        <v>2011-2</v>
      </c>
      <c r="BG10" s="8" t="str" cm="1">
        <f t="array" aca="1" ref="BG10" ca="1">INDIRECT(BG$5&amp;$AR10+8)&amp;"-"&amp;1</f>
        <v>2010-1</v>
      </c>
      <c r="BH10" s="9" t="str" cm="1">
        <f t="array" aca="1" ref="BH10" ca="1">INDIRECT(BH$5&amp;$AR10+8)&amp;"-"&amp;2</f>
        <v>2010-2</v>
      </c>
      <c r="BI10" s="8" t="str" cm="1">
        <f t="array" aca="1" ref="BI10" ca="1">INDIRECT(BI$5&amp;$AR10+8)&amp;"-"&amp;1</f>
        <v>2009-1</v>
      </c>
      <c r="BJ10" s="9" t="str" cm="1">
        <f t="array" aca="1" ref="BJ10" ca="1">INDIRECT(BJ$5&amp;$AR10+8)&amp;"-"&amp;2</f>
        <v>2009-2</v>
      </c>
      <c r="BK10" s="8" t="str" cm="1">
        <f t="array" aca="1" ref="BK10" ca="1">INDIRECT(BK$5&amp;$AR10+8)&amp;"-"&amp;1</f>
        <v>2008-1</v>
      </c>
      <c r="BL10" s="9" t="str" cm="1">
        <f t="array" aca="1" ref="BL10" ca="1">INDIRECT(BL$5&amp;$AR10+8)&amp;"-"&amp;2</f>
        <v>2008-2</v>
      </c>
      <c r="BM10" s="8" t="str" cm="1">
        <f t="array" aca="1" ref="BM10" ca="1">INDIRECT(BM$5&amp;$AR10+8)&amp;"-"&amp;1</f>
        <v>2007-1</v>
      </c>
      <c r="BN10" s="9" t="str" cm="1">
        <f t="array" aca="1" ref="BN10" ca="1">INDIRECT(BN$5&amp;$AR10+8)&amp;"-"&amp;2</f>
        <v>2007-2</v>
      </c>
      <c r="BO10" s="8" t="str" cm="1">
        <f t="array" aca="1" ref="BO10" ca="1">INDIRECT(BO$5&amp;$AR10+8)&amp;"-"&amp;1</f>
        <v>2006-1</v>
      </c>
      <c r="BP10" s="9" t="str" cm="1">
        <f t="array" aca="1" ref="BP10" ca="1">INDIRECT(BP$5&amp;$AR10+8)&amp;"-"&amp;2</f>
        <v>2006-2</v>
      </c>
      <c r="BQ10" s="8" t="str" cm="1">
        <f t="array" aca="1" ref="BQ10" ca="1">INDIRECT(BQ$5&amp;$AR10+8)&amp;"-"&amp;1</f>
        <v>2005-1</v>
      </c>
      <c r="BR10" s="9" t="str" cm="1">
        <f t="array" aca="1" ref="BR10" ca="1">INDIRECT(BR$5&amp;$AR10+8)&amp;"-"&amp;2</f>
        <v>2005-2</v>
      </c>
      <c r="BS10" s="8" t="str" cm="1">
        <f t="array" aca="1" ref="BS10" ca="1">INDIRECT(BS$5&amp;$AR10+8)&amp;"-"&amp;1</f>
        <v>2004-1</v>
      </c>
      <c r="BT10" s="9" t="str" cm="1">
        <f t="array" aca="1" ref="BT10" ca="1">INDIRECT(BT$5&amp;$AR10+8)&amp;"-"&amp;2</f>
        <v>2004-2</v>
      </c>
      <c r="BU10" s="8" t="str" cm="1">
        <f t="array" aca="1" ref="BU10" ca="1">INDIRECT(BU$5&amp;$AR10+8)&amp;"-"&amp;1</f>
        <v>2003-1</v>
      </c>
      <c r="BV10" s="9" t="str" cm="1">
        <f t="array" aca="1" ref="BV10" ca="1">INDIRECT(BV$5&amp;$AR10+8)&amp;"-"&amp;2</f>
        <v>2003-2</v>
      </c>
      <c r="BW10" s="8" t="str" cm="1">
        <f t="array" aca="1" ref="BW10" ca="1">INDIRECT(BW$5&amp;$AR10+8)&amp;"-"&amp;1</f>
        <v>2002-1</v>
      </c>
      <c r="BX10" s="9" t="str" cm="1">
        <f t="array" aca="1" ref="BX10" ca="1">INDIRECT(BX$5&amp;$AR10+8)&amp;"-"&amp;2</f>
        <v>2002-2</v>
      </c>
      <c r="BY10" s="8" t="str" cm="1">
        <f t="array" aca="1" ref="BY10" ca="1">INDIRECT(BY$5&amp;$AR10+8)&amp;"-"&amp;1</f>
        <v>2001-1</v>
      </c>
      <c r="BZ10" s="9" t="str" cm="1">
        <f t="array" aca="1" ref="BZ10" ca="1">INDIRECT(BZ$5&amp;$AR10+8)&amp;"-"&amp;2</f>
        <v>2001-2</v>
      </c>
      <c r="CA10" s="6" t="str" cm="1">
        <f t="array" aca="1" ref="CA10" ca="1">INDIRECT(CA$5&amp;$AR10+8)&amp;"-"&amp;1</f>
        <v>1016-1</v>
      </c>
      <c r="CB10" s="7" t="str" cm="1">
        <f t="array" aca="1" ref="CB10" ca="1">INDIRECT(CB$5&amp;$AR10+8)&amp;"-"&amp;2</f>
        <v>1016-2</v>
      </c>
      <c r="CC10" s="6" t="str" cm="1">
        <f t="array" aca="1" ref="CC10" ca="1">INDIRECT(CC$5&amp;$AR10+8)&amp;"-"&amp;1</f>
        <v>1015-1</v>
      </c>
      <c r="CD10" s="7" t="str" cm="1">
        <f t="array" aca="1" ref="CD10" ca="1">INDIRECT(CD$5&amp;$AR10+8)&amp;"-"&amp;2</f>
        <v>1015-2</v>
      </c>
      <c r="CE10" s="6" t="str" cm="1">
        <f t="array" aca="1" ref="CE10" ca="1">INDIRECT(CE$5&amp;$AR10+8)&amp;"-"&amp;1</f>
        <v>1014-1</v>
      </c>
      <c r="CF10" s="7" t="str" cm="1">
        <f t="array" aca="1" ref="CF10" ca="1">INDIRECT(CF$5&amp;$AR10+8)&amp;"-"&amp;2</f>
        <v>1014-2</v>
      </c>
      <c r="CG10" s="6" t="str" cm="1">
        <f t="array" aca="1" ref="CG10" ca="1">INDIRECT(CG$5&amp;$AR10+8)&amp;"-"&amp;1</f>
        <v>1013-1</v>
      </c>
      <c r="CH10" s="7" t="str" cm="1">
        <f t="array" aca="1" ref="CH10" ca="1">INDIRECT(CH$5&amp;$AR10+8)&amp;"-"&amp;2</f>
        <v>1013-2</v>
      </c>
      <c r="CI10" s="6" t="str" cm="1">
        <f t="array" aca="1" ref="CI10" ca="1">INDIRECT(CI$5&amp;$AR10+8)&amp;"-"&amp;1</f>
        <v>1012-1</v>
      </c>
      <c r="CJ10" s="7" t="str" cm="1">
        <f t="array" aca="1" ref="CJ10" ca="1">INDIRECT(CJ$5&amp;$AR10+8)&amp;"-"&amp;2</f>
        <v>1012-2</v>
      </c>
      <c r="CK10" s="6" t="str" cm="1">
        <f t="array" aca="1" ref="CK10" ca="1">INDIRECT(CK$5&amp;$AR10+8)&amp;"-"&amp;1</f>
        <v>1011-1</v>
      </c>
      <c r="CL10" s="7" t="str" cm="1">
        <f t="array" aca="1" ref="CL10" ca="1">INDIRECT(CL$5&amp;$AR10+8)&amp;"-"&amp;2</f>
        <v>1011-2</v>
      </c>
      <c r="CM10" s="6" t="str" cm="1">
        <f t="array" aca="1" ref="CM10" ca="1">INDIRECT(CM$5&amp;$AR10+8)&amp;"-"&amp;1</f>
        <v>1010-1</v>
      </c>
      <c r="CN10" s="7" t="str" cm="1">
        <f t="array" aca="1" ref="CN10" ca="1">INDIRECT(CN$5&amp;$AR10+8)&amp;"-"&amp;2</f>
        <v>1010-2</v>
      </c>
      <c r="CO10" s="6" t="str" cm="1">
        <f t="array" aca="1" ref="CO10" ca="1">INDIRECT(CO$5&amp;$AR10+8)&amp;"-"&amp;1</f>
        <v>1009-1</v>
      </c>
      <c r="CP10" s="7" t="str" cm="1">
        <f t="array" aca="1" ref="CP10" ca="1">INDIRECT(CP$5&amp;$AR10+8)&amp;"-"&amp;2</f>
        <v>1009-2</v>
      </c>
      <c r="CQ10" s="6" t="str" cm="1">
        <f t="array" aca="1" ref="CQ10" ca="1">INDIRECT(CQ$5&amp;$AR10+8)&amp;"-"&amp;1</f>
        <v>1008-1</v>
      </c>
      <c r="CR10" s="7" t="str" cm="1">
        <f t="array" aca="1" ref="CR10" ca="1">INDIRECT(CR$5&amp;$AR10+8)&amp;"-"&amp;2</f>
        <v>1008-2</v>
      </c>
      <c r="CS10" s="6" t="str" cm="1">
        <f t="array" aca="1" ref="CS10" ca="1">INDIRECT(CS$5&amp;$AR10+8)&amp;"-"&amp;1</f>
        <v>1007-1</v>
      </c>
      <c r="CT10" s="7" t="str" cm="1">
        <f t="array" aca="1" ref="CT10" ca="1">INDIRECT(CT$5&amp;$AR10+8)&amp;"-"&amp;2</f>
        <v>1007-2</v>
      </c>
      <c r="CU10" s="6" t="str" cm="1">
        <f t="array" aca="1" ref="CU10" ca="1">INDIRECT(CU$5&amp;$AR10+8)&amp;"-"&amp;1</f>
        <v>1006-1</v>
      </c>
      <c r="CV10" s="7" t="str" cm="1">
        <f t="array" aca="1" ref="CV10" ca="1">INDIRECT(CV$5&amp;$AR10+8)&amp;"-"&amp;2</f>
        <v>1006-2</v>
      </c>
      <c r="CW10" s="6" t="str" cm="1">
        <f t="array" aca="1" ref="CW10" ca="1">INDIRECT(CW$5&amp;$AR10+8)&amp;"-"&amp;1</f>
        <v>1005-1</v>
      </c>
      <c r="CX10" s="7" t="str" cm="1">
        <f t="array" aca="1" ref="CX10" ca="1">INDIRECT(CX$5&amp;$AR10+8)&amp;"-"&amp;2</f>
        <v>1005-2</v>
      </c>
      <c r="CY10" s="6" t="str" cm="1">
        <f t="array" aca="1" ref="CY10" ca="1">INDIRECT(CY$5&amp;$AR10+8)&amp;"-"&amp;1</f>
        <v>1004-1</v>
      </c>
      <c r="CZ10" s="7" t="str" cm="1">
        <f t="array" aca="1" ref="CZ10" ca="1">INDIRECT(CZ$5&amp;$AR10+8)&amp;"-"&amp;2</f>
        <v>1004-2</v>
      </c>
      <c r="DA10" s="6" t="str" cm="1">
        <f t="array" aca="1" ref="DA10" ca="1">INDIRECT(DA$5&amp;$AR10+8)&amp;"-"&amp;1</f>
        <v>1003-1</v>
      </c>
      <c r="DB10" s="7" t="str" cm="1">
        <f t="array" aca="1" ref="DB10" ca="1">INDIRECT(DB$5&amp;$AR10+8)&amp;"-"&amp;2</f>
        <v>1003-2</v>
      </c>
      <c r="DC10" s="6" t="str" cm="1">
        <f t="array" aca="1" ref="DC10" ca="1">INDIRECT(DC$5&amp;$AR10+8)&amp;"-"&amp;1</f>
        <v>1002-1</v>
      </c>
      <c r="DD10" s="7" t="str" cm="1">
        <f t="array" aca="1" ref="DD10" ca="1">INDIRECT(DD$5&amp;$AR10+8)&amp;"-"&amp;2</f>
        <v>1002-2</v>
      </c>
      <c r="DE10" s="6" t="str" cm="1">
        <f t="array" aca="1" ref="DE10" ca="1">INDIRECT(DE$5&amp;$AR10+8)&amp;"-"&amp;1</f>
        <v>1001-1</v>
      </c>
      <c r="DF10" s="7" t="str" cm="1">
        <f t="array" aca="1" ref="DF10" ca="1">INDIRECT(DF$5&amp;$AR10+8)&amp;"-"&amp;2</f>
        <v>1001-2</v>
      </c>
      <c r="DG10" s="25" t="str" cm="1">
        <f t="array" aca="1" ref="DG10" ca="1">INDIRECT(DG$5&amp;$AR10+8)</f>
        <v>Border</v>
      </c>
      <c r="DH10" s="25" t="str" cm="1">
        <f t="array" aca="1" ref="DH10" ca="1">INDIRECT(DH$5&amp;$AR10+8)</f>
        <v>Border</v>
      </c>
    </row>
    <row r="11" spans="1:112" ht="40.049999999999997" customHeight="1" x14ac:dyDescent="0.45">
      <c r="A11" s="2"/>
      <c r="B11" s="3">
        <v>3</v>
      </c>
      <c r="C11" s="11" t="s">
        <v>9</v>
      </c>
      <c r="D11" s="5">
        <f t="shared" si="0"/>
        <v>2032</v>
      </c>
      <c r="E11" s="5">
        <f t="shared" si="0"/>
        <v>2031</v>
      </c>
      <c r="F11" s="5">
        <f t="shared" si="0"/>
        <v>2030</v>
      </c>
      <c r="G11" s="5">
        <f t="shared" si="0"/>
        <v>2029</v>
      </c>
      <c r="H11" s="5">
        <f t="shared" si="0"/>
        <v>2028</v>
      </c>
      <c r="I11" s="5">
        <f t="shared" si="0"/>
        <v>2027</v>
      </c>
      <c r="J11" s="5">
        <f t="shared" si="0"/>
        <v>2026</v>
      </c>
      <c r="K11" s="5">
        <f t="shared" si="0"/>
        <v>2025</v>
      </c>
      <c r="L11" s="5">
        <f t="shared" si="0"/>
        <v>2024</v>
      </c>
      <c r="M11" s="5">
        <f t="shared" si="0"/>
        <v>2023</v>
      </c>
      <c r="N11" s="5">
        <f t="shared" si="0"/>
        <v>2022</v>
      </c>
      <c r="O11" s="5">
        <f t="shared" si="0"/>
        <v>2021</v>
      </c>
      <c r="P11" s="5">
        <f t="shared" si="0"/>
        <v>2020</v>
      </c>
      <c r="Q11" s="5">
        <f t="shared" si="0"/>
        <v>2019</v>
      </c>
      <c r="R11" s="5">
        <f t="shared" si="0"/>
        <v>2018</v>
      </c>
      <c r="S11" s="5">
        <f t="array" ref="S11">D10+1</f>
        <v>2017</v>
      </c>
      <c r="T11" s="4">
        <f t="shared" si="0"/>
        <v>1032</v>
      </c>
      <c r="U11" s="4">
        <f t="shared" si="0"/>
        <v>1031</v>
      </c>
      <c r="V11" s="4">
        <f t="shared" si="0"/>
        <v>1030</v>
      </c>
      <c r="W11" s="4">
        <f t="shared" si="0"/>
        <v>1029</v>
      </c>
      <c r="X11" s="4">
        <f t="shared" si="0"/>
        <v>1028</v>
      </c>
      <c r="Y11" s="4">
        <f t="shared" si="0"/>
        <v>1027</v>
      </c>
      <c r="Z11" s="4">
        <f t="shared" si="0"/>
        <v>1026</v>
      </c>
      <c r="AA11" s="4">
        <f t="shared" si="0"/>
        <v>1025</v>
      </c>
      <c r="AB11" s="4">
        <f t="shared" si="0"/>
        <v>1024</v>
      </c>
      <c r="AC11" s="4">
        <f t="shared" si="0"/>
        <v>1023</v>
      </c>
      <c r="AD11" s="4">
        <f t="shared" si="0"/>
        <v>1022</v>
      </c>
      <c r="AE11" s="4">
        <f t="shared" si="0"/>
        <v>1021</v>
      </c>
      <c r="AF11" s="4">
        <f t="shared" si="0"/>
        <v>1020</v>
      </c>
      <c r="AG11" s="4">
        <f t="shared" si="0"/>
        <v>1019</v>
      </c>
      <c r="AH11" s="4">
        <f>AI11+1</f>
        <v>1018</v>
      </c>
      <c r="AI11" s="4">
        <f>T10+1</f>
        <v>1017</v>
      </c>
      <c r="AJ11" s="11" t="s">
        <v>9</v>
      </c>
      <c r="AQ11" s="2"/>
      <c r="AR11" s="3">
        <v>3</v>
      </c>
      <c r="AS11" s="22" t="str" cm="1">
        <f t="array" aca="1" ref="AS11" ca="1">INDIRECT(AS$5&amp;$AR11+8)</f>
        <v>Border</v>
      </c>
      <c r="AT11" s="23" t="str" cm="1">
        <f t="array" aca="1" ref="AT11" ca="1">INDIRECT(AT$5&amp;$AR11+8)</f>
        <v>Border</v>
      </c>
      <c r="AU11" s="8" t="str" cm="1">
        <f t="array" aca="1" ref="AU11" ca="1">INDIRECT(AU$5&amp;$AR11+8)&amp;"-"&amp;1</f>
        <v>2032-1</v>
      </c>
      <c r="AV11" s="9" t="str" cm="1">
        <f t="array" aca="1" ref="AV11" ca="1">INDIRECT(AV$5&amp;$AR11+8)&amp;"-"&amp;2</f>
        <v>2032-2</v>
      </c>
      <c r="AW11" s="8" t="str" cm="1">
        <f t="array" aca="1" ref="AW11" ca="1">INDIRECT(AW$5&amp;$AR11+8)&amp;"-"&amp;1</f>
        <v>2031-1</v>
      </c>
      <c r="AX11" s="9" t="str" cm="1">
        <f t="array" aca="1" ref="AX11" ca="1">INDIRECT(AX$5&amp;$AR11+8)&amp;"-"&amp;2</f>
        <v>2031-2</v>
      </c>
      <c r="AY11" s="8" t="str" cm="1">
        <f t="array" aca="1" ref="AY11" ca="1">INDIRECT(AY$5&amp;$AR11+8)&amp;"-"&amp;1</f>
        <v>2030-1</v>
      </c>
      <c r="AZ11" s="9" t="str" cm="1">
        <f t="array" aca="1" ref="AZ11" ca="1">INDIRECT(AZ$5&amp;$AR11+8)&amp;"-"&amp;2</f>
        <v>2030-2</v>
      </c>
      <c r="BA11" s="8" t="str" cm="1">
        <f t="array" aca="1" ref="BA11" ca="1">INDIRECT(BA$5&amp;$AR11+8)&amp;"-"&amp;1</f>
        <v>2029-1</v>
      </c>
      <c r="BB11" s="9" t="str" cm="1">
        <f t="array" aca="1" ref="BB11" ca="1">INDIRECT(BB$5&amp;$AR11+8)&amp;"-"&amp;2</f>
        <v>2029-2</v>
      </c>
      <c r="BC11" s="8" t="str" cm="1">
        <f t="array" aca="1" ref="BC11" ca="1">INDIRECT(BC$5&amp;$AR11+8)&amp;"-"&amp;1</f>
        <v>2028-1</v>
      </c>
      <c r="BD11" s="9" t="str" cm="1">
        <f t="array" aca="1" ref="BD11" ca="1">INDIRECT(BD$5&amp;$AR11+8)&amp;"-"&amp;2</f>
        <v>2028-2</v>
      </c>
      <c r="BE11" s="8" t="str" cm="1">
        <f t="array" aca="1" ref="BE11" ca="1">INDIRECT(BE$5&amp;$AR11+8)&amp;"-"&amp;1</f>
        <v>2027-1</v>
      </c>
      <c r="BF11" s="9" t="str" cm="1">
        <f t="array" aca="1" ref="BF11" ca="1">INDIRECT(BF$5&amp;$AR11+8)&amp;"-"&amp;2</f>
        <v>2027-2</v>
      </c>
      <c r="BG11" s="8" t="str" cm="1">
        <f t="array" aca="1" ref="BG11" ca="1">INDIRECT(BG$5&amp;$AR11+8)&amp;"-"&amp;1</f>
        <v>2026-1</v>
      </c>
      <c r="BH11" s="9" t="str" cm="1">
        <f t="array" aca="1" ref="BH11" ca="1">INDIRECT(BH$5&amp;$AR11+8)&amp;"-"&amp;2</f>
        <v>2026-2</v>
      </c>
      <c r="BI11" s="8" t="str" cm="1">
        <f t="array" aca="1" ref="BI11" ca="1">INDIRECT(BI$5&amp;$AR11+8)&amp;"-"&amp;1</f>
        <v>2025-1</v>
      </c>
      <c r="BJ11" s="9" t="str" cm="1">
        <f t="array" aca="1" ref="BJ11" ca="1">INDIRECT(BJ$5&amp;$AR11+8)&amp;"-"&amp;2</f>
        <v>2025-2</v>
      </c>
      <c r="BK11" s="8" t="str" cm="1">
        <f t="array" aca="1" ref="BK11" ca="1">INDIRECT(BK$5&amp;$AR11+8)&amp;"-"&amp;1</f>
        <v>2024-1</v>
      </c>
      <c r="BL11" s="9" t="str" cm="1">
        <f t="array" aca="1" ref="BL11" ca="1">INDIRECT(BL$5&amp;$AR11+8)&amp;"-"&amp;2</f>
        <v>2024-2</v>
      </c>
      <c r="BM11" s="8" t="str" cm="1">
        <f t="array" aca="1" ref="BM11" ca="1">INDIRECT(BM$5&amp;$AR11+8)&amp;"-"&amp;1</f>
        <v>2023-1</v>
      </c>
      <c r="BN11" s="9" t="str" cm="1">
        <f t="array" aca="1" ref="BN11" ca="1">INDIRECT(BN$5&amp;$AR11+8)&amp;"-"&amp;2</f>
        <v>2023-2</v>
      </c>
      <c r="BO11" s="8" t="str" cm="1">
        <f t="array" aca="1" ref="BO11" ca="1">INDIRECT(BO$5&amp;$AR11+8)&amp;"-"&amp;1</f>
        <v>2022-1</v>
      </c>
      <c r="BP11" s="9" t="str" cm="1">
        <f t="array" aca="1" ref="BP11" ca="1">INDIRECT(BP$5&amp;$AR11+8)&amp;"-"&amp;2</f>
        <v>2022-2</v>
      </c>
      <c r="BQ11" s="8" t="str" cm="1">
        <f t="array" aca="1" ref="BQ11" ca="1">INDIRECT(BQ$5&amp;$AR11+8)&amp;"-"&amp;1</f>
        <v>2021-1</v>
      </c>
      <c r="BR11" s="9" t="str" cm="1">
        <f t="array" aca="1" ref="BR11" ca="1">INDIRECT(BR$5&amp;$AR11+8)&amp;"-"&amp;2</f>
        <v>2021-2</v>
      </c>
      <c r="BS11" s="8" t="str" cm="1">
        <f t="array" aca="1" ref="BS11" ca="1">INDIRECT(BS$5&amp;$AR11+8)&amp;"-"&amp;1</f>
        <v>2020-1</v>
      </c>
      <c r="BT11" s="9" t="str" cm="1">
        <f t="array" aca="1" ref="BT11" ca="1">INDIRECT(BT$5&amp;$AR11+8)&amp;"-"&amp;2</f>
        <v>2020-2</v>
      </c>
      <c r="BU11" s="8" t="str" cm="1">
        <f t="array" aca="1" ref="BU11" ca="1">INDIRECT(BU$5&amp;$AR11+8)&amp;"-"&amp;1</f>
        <v>2019-1</v>
      </c>
      <c r="BV11" s="9" t="str" cm="1">
        <f t="array" aca="1" ref="BV11" ca="1">INDIRECT(BV$5&amp;$AR11+8)&amp;"-"&amp;2</f>
        <v>2019-2</v>
      </c>
      <c r="BW11" s="8" t="str" cm="1">
        <f t="array" aca="1" ref="BW11" ca="1">INDIRECT(BW$5&amp;$AR11+8)&amp;"-"&amp;1</f>
        <v>2018-1</v>
      </c>
      <c r="BX11" s="9" t="str" cm="1">
        <f t="array" aca="1" ref="BX11" ca="1">INDIRECT(BX$5&amp;$AR11+8)&amp;"-"&amp;2</f>
        <v>2018-2</v>
      </c>
      <c r="BY11" s="8" t="str" cm="1">
        <f t="array" aca="1" ref="BY11" ca="1">INDIRECT(BY$5&amp;$AR11+8)&amp;"-"&amp;1</f>
        <v>2017-1</v>
      </c>
      <c r="BZ11" s="9" t="str" cm="1">
        <f t="array" aca="1" ref="BZ11" ca="1">INDIRECT(BZ$5&amp;$AR11+8)&amp;"-"&amp;2</f>
        <v>2017-2</v>
      </c>
      <c r="CA11" s="6" t="str" cm="1">
        <f t="array" aca="1" ref="CA11" ca="1">INDIRECT(CA$5&amp;$AR11+8)&amp;"-"&amp;1</f>
        <v>1032-1</v>
      </c>
      <c r="CB11" s="7" t="str" cm="1">
        <f t="array" aca="1" ref="CB11" ca="1">INDIRECT(CB$5&amp;$AR11+8)&amp;"-"&amp;2</f>
        <v>1032-2</v>
      </c>
      <c r="CC11" s="6" t="str" cm="1">
        <f t="array" aca="1" ref="CC11" ca="1">INDIRECT(CC$5&amp;$AR11+8)&amp;"-"&amp;1</f>
        <v>1031-1</v>
      </c>
      <c r="CD11" s="7" t="str" cm="1">
        <f t="array" aca="1" ref="CD11" ca="1">INDIRECT(CD$5&amp;$AR11+8)&amp;"-"&amp;2</f>
        <v>1031-2</v>
      </c>
      <c r="CE11" s="6" t="str" cm="1">
        <f t="array" aca="1" ref="CE11" ca="1">INDIRECT(CE$5&amp;$AR11+8)&amp;"-"&amp;1</f>
        <v>1030-1</v>
      </c>
      <c r="CF11" s="7" t="str" cm="1">
        <f t="array" aca="1" ref="CF11" ca="1">INDIRECT(CF$5&amp;$AR11+8)&amp;"-"&amp;2</f>
        <v>1030-2</v>
      </c>
      <c r="CG11" s="6" t="str" cm="1">
        <f t="array" aca="1" ref="CG11" ca="1">INDIRECT(CG$5&amp;$AR11+8)&amp;"-"&amp;1</f>
        <v>1029-1</v>
      </c>
      <c r="CH11" s="7" t="str" cm="1">
        <f t="array" aca="1" ref="CH11" ca="1">INDIRECT(CH$5&amp;$AR11+8)&amp;"-"&amp;2</f>
        <v>1029-2</v>
      </c>
      <c r="CI11" s="6" t="str" cm="1">
        <f t="array" aca="1" ref="CI11" ca="1">INDIRECT(CI$5&amp;$AR11+8)&amp;"-"&amp;1</f>
        <v>1028-1</v>
      </c>
      <c r="CJ11" s="7" t="str" cm="1">
        <f t="array" aca="1" ref="CJ11" ca="1">INDIRECT(CJ$5&amp;$AR11+8)&amp;"-"&amp;2</f>
        <v>1028-2</v>
      </c>
      <c r="CK11" s="6" t="str" cm="1">
        <f t="array" aca="1" ref="CK11" ca="1">INDIRECT(CK$5&amp;$AR11+8)&amp;"-"&amp;1</f>
        <v>1027-1</v>
      </c>
      <c r="CL11" s="7" t="str" cm="1">
        <f t="array" aca="1" ref="CL11" ca="1">INDIRECT(CL$5&amp;$AR11+8)&amp;"-"&amp;2</f>
        <v>1027-2</v>
      </c>
      <c r="CM11" s="6" t="str" cm="1">
        <f t="array" aca="1" ref="CM11" ca="1">INDIRECT(CM$5&amp;$AR11+8)&amp;"-"&amp;1</f>
        <v>1026-1</v>
      </c>
      <c r="CN11" s="7" t="str" cm="1">
        <f t="array" aca="1" ref="CN11" ca="1">INDIRECT(CN$5&amp;$AR11+8)&amp;"-"&amp;2</f>
        <v>1026-2</v>
      </c>
      <c r="CO11" s="6" t="str" cm="1">
        <f t="array" aca="1" ref="CO11" ca="1">INDIRECT(CO$5&amp;$AR11+8)&amp;"-"&amp;1</f>
        <v>1025-1</v>
      </c>
      <c r="CP11" s="7" t="str" cm="1">
        <f t="array" aca="1" ref="CP11" ca="1">INDIRECT(CP$5&amp;$AR11+8)&amp;"-"&amp;2</f>
        <v>1025-2</v>
      </c>
      <c r="CQ11" s="6" t="str" cm="1">
        <f t="array" aca="1" ref="CQ11" ca="1">INDIRECT(CQ$5&amp;$AR11+8)&amp;"-"&amp;1</f>
        <v>1024-1</v>
      </c>
      <c r="CR11" s="7" t="str" cm="1">
        <f t="array" aca="1" ref="CR11" ca="1">INDIRECT(CR$5&amp;$AR11+8)&amp;"-"&amp;2</f>
        <v>1024-2</v>
      </c>
      <c r="CS11" s="6" t="str" cm="1">
        <f t="array" aca="1" ref="CS11" ca="1">INDIRECT(CS$5&amp;$AR11+8)&amp;"-"&amp;1</f>
        <v>1023-1</v>
      </c>
      <c r="CT11" s="7" t="str" cm="1">
        <f t="array" aca="1" ref="CT11" ca="1">INDIRECT(CT$5&amp;$AR11+8)&amp;"-"&amp;2</f>
        <v>1023-2</v>
      </c>
      <c r="CU11" s="6" t="str" cm="1">
        <f t="array" aca="1" ref="CU11" ca="1">INDIRECT(CU$5&amp;$AR11+8)&amp;"-"&amp;1</f>
        <v>1022-1</v>
      </c>
      <c r="CV11" s="7" t="str" cm="1">
        <f t="array" aca="1" ref="CV11" ca="1">INDIRECT(CV$5&amp;$AR11+8)&amp;"-"&amp;2</f>
        <v>1022-2</v>
      </c>
      <c r="CW11" s="6" t="str" cm="1">
        <f t="array" aca="1" ref="CW11" ca="1">INDIRECT(CW$5&amp;$AR11+8)&amp;"-"&amp;1</f>
        <v>1021-1</v>
      </c>
      <c r="CX11" s="7" t="str" cm="1">
        <f t="array" aca="1" ref="CX11" ca="1">INDIRECT(CX$5&amp;$AR11+8)&amp;"-"&amp;2</f>
        <v>1021-2</v>
      </c>
      <c r="CY11" s="6" t="str" cm="1">
        <f t="array" aca="1" ref="CY11" ca="1">INDIRECT(CY$5&amp;$AR11+8)&amp;"-"&amp;1</f>
        <v>1020-1</v>
      </c>
      <c r="CZ11" s="7" t="str" cm="1">
        <f t="array" aca="1" ref="CZ11" ca="1">INDIRECT(CZ$5&amp;$AR11+8)&amp;"-"&amp;2</f>
        <v>1020-2</v>
      </c>
      <c r="DA11" s="6" t="str" cm="1">
        <f t="array" aca="1" ref="DA11" ca="1">INDIRECT(DA$5&amp;$AR11+8)&amp;"-"&amp;1</f>
        <v>1019-1</v>
      </c>
      <c r="DB11" s="7" t="str" cm="1">
        <f t="array" aca="1" ref="DB11" ca="1">INDIRECT(DB$5&amp;$AR11+8)&amp;"-"&amp;2</f>
        <v>1019-2</v>
      </c>
      <c r="DC11" s="6" t="str" cm="1">
        <f t="array" aca="1" ref="DC11" ca="1">INDIRECT(DC$5&amp;$AR11+8)&amp;"-"&amp;1</f>
        <v>1018-1</v>
      </c>
      <c r="DD11" s="7" t="str" cm="1">
        <f t="array" aca="1" ref="DD11" ca="1">INDIRECT(DD$5&amp;$AR11+8)&amp;"-"&amp;2</f>
        <v>1018-2</v>
      </c>
      <c r="DE11" s="6" t="str" cm="1">
        <f t="array" aca="1" ref="DE11" ca="1">INDIRECT(DE$5&amp;$AR11+8)&amp;"-"&amp;1</f>
        <v>1017-1</v>
      </c>
      <c r="DF11" s="7" t="str" cm="1">
        <f t="array" aca="1" ref="DF11" ca="1">INDIRECT(DF$5&amp;$AR11+8)&amp;"-"&amp;2</f>
        <v>1017-2</v>
      </c>
      <c r="DG11" s="25" t="str" cm="1">
        <f t="array" aca="1" ref="DG11" ca="1">INDIRECT(DG$5&amp;$AR11+8)</f>
        <v>Border</v>
      </c>
      <c r="DH11" s="25" t="str" cm="1">
        <f t="array" aca="1" ref="DH11" ca="1">INDIRECT(DH$5&amp;$AR11+8)</f>
        <v>Border</v>
      </c>
    </row>
    <row r="12" spans="1:112" ht="40.049999999999997" customHeight="1" x14ac:dyDescent="0.45">
      <c r="A12" s="2"/>
      <c r="B12" s="3">
        <v>4</v>
      </c>
      <c r="C12" s="11" t="s">
        <v>9</v>
      </c>
      <c r="D12" s="5">
        <f t="shared" ref="D12:Q12" si="1">E12+1</f>
        <v>2048</v>
      </c>
      <c r="E12" s="5">
        <f t="shared" si="1"/>
        <v>2047</v>
      </c>
      <c r="F12" s="5">
        <f t="shared" si="1"/>
        <v>2046</v>
      </c>
      <c r="G12" s="5">
        <f t="shared" si="1"/>
        <v>2045</v>
      </c>
      <c r="H12" s="5">
        <f t="shared" si="1"/>
        <v>2044</v>
      </c>
      <c r="I12" s="5">
        <f t="shared" si="1"/>
        <v>2043</v>
      </c>
      <c r="J12" s="5">
        <f t="shared" si="1"/>
        <v>2042</v>
      </c>
      <c r="K12" s="5">
        <f t="shared" si="1"/>
        <v>2041</v>
      </c>
      <c r="L12" s="5">
        <f t="shared" si="1"/>
        <v>2040</v>
      </c>
      <c r="M12" s="5">
        <f t="shared" si="1"/>
        <v>2039</v>
      </c>
      <c r="N12" s="5">
        <f t="shared" si="1"/>
        <v>2038</v>
      </c>
      <c r="O12" s="5">
        <f t="shared" si="1"/>
        <v>2037</v>
      </c>
      <c r="P12" s="5">
        <f t="shared" si="1"/>
        <v>2036</v>
      </c>
      <c r="Q12" s="5">
        <f t="shared" si="1"/>
        <v>2035</v>
      </c>
      <c r="R12" s="5">
        <f>S12+1</f>
        <v>2034</v>
      </c>
      <c r="S12" s="5">
        <f t="array" ref="S12">D11+1</f>
        <v>2033</v>
      </c>
      <c r="T12" s="4">
        <f t="shared" ref="T12:AH27" si="2">U12+1</f>
        <v>1048</v>
      </c>
      <c r="U12" s="4">
        <f t="shared" si="2"/>
        <v>1047</v>
      </c>
      <c r="V12" s="4">
        <f t="shared" si="2"/>
        <v>1046</v>
      </c>
      <c r="W12" s="4">
        <f t="shared" si="2"/>
        <v>1045</v>
      </c>
      <c r="X12" s="4">
        <f t="shared" si="2"/>
        <v>1044</v>
      </c>
      <c r="Y12" s="4">
        <f t="shared" si="2"/>
        <v>1043</v>
      </c>
      <c r="Z12" s="4">
        <f t="shared" si="2"/>
        <v>1042</v>
      </c>
      <c r="AA12" s="4">
        <f t="shared" si="2"/>
        <v>1041</v>
      </c>
      <c r="AB12" s="4">
        <f t="shared" si="2"/>
        <v>1040</v>
      </c>
      <c r="AC12" s="4">
        <f t="shared" si="2"/>
        <v>1039</v>
      </c>
      <c r="AD12" s="4">
        <f t="shared" si="2"/>
        <v>1038</v>
      </c>
      <c r="AE12" s="4">
        <f t="shared" si="2"/>
        <v>1037</v>
      </c>
      <c r="AF12" s="4">
        <f t="shared" si="2"/>
        <v>1036</v>
      </c>
      <c r="AG12" s="4">
        <f t="shared" si="2"/>
        <v>1035</v>
      </c>
      <c r="AH12" s="4">
        <f t="shared" si="2"/>
        <v>1034</v>
      </c>
      <c r="AI12" s="4">
        <f t="shared" ref="AI12:AI34" si="3">T11+1</f>
        <v>1033</v>
      </c>
      <c r="AJ12" s="11" t="s">
        <v>9</v>
      </c>
      <c r="AQ12" s="2"/>
      <c r="AR12" s="3">
        <v>4</v>
      </c>
      <c r="AS12" s="22" t="str" cm="1">
        <f t="array" aca="1" ref="AS12" ca="1">INDIRECT(AS$5&amp;$AR12+8)</f>
        <v>Border</v>
      </c>
      <c r="AT12" s="23" t="str" cm="1">
        <f t="array" aca="1" ref="AT12" ca="1">INDIRECT(AT$5&amp;$AR12+8)</f>
        <v>Border</v>
      </c>
      <c r="AU12" s="8" t="str" cm="1">
        <f t="array" aca="1" ref="AU12" ca="1">INDIRECT(AU$5&amp;$AR12+8)&amp;"-"&amp;1</f>
        <v>2048-1</v>
      </c>
      <c r="AV12" s="9" t="str" cm="1">
        <f t="array" aca="1" ref="AV12" ca="1">INDIRECT(AV$5&amp;$AR12+8)&amp;"-"&amp;2</f>
        <v>2048-2</v>
      </c>
      <c r="AW12" s="8" t="str" cm="1">
        <f t="array" aca="1" ref="AW12" ca="1">INDIRECT(AW$5&amp;$AR12+8)&amp;"-"&amp;1</f>
        <v>2047-1</v>
      </c>
      <c r="AX12" s="9" t="str" cm="1">
        <f t="array" aca="1" ref="AX12" ca="1">INDIRECT(AX$5&amp;$AR12+8)&amp;"-"&amp;2</f>
        <v>2047-2</v>
      </c>
      <c r="AY12" s="8" t="str" cm="1">
        <f t="array" aca="1" ref="AY12" ca="1">INDIRECT(AY$5&amp;$AR12+8)&amp;"-"&amp;1</f>
        <v>2046-1</v>
      </c>
      <c r="AZ12" s="9" t="str" cm="1">
        <f t="array" aca="1" ref="AZ12" ca="1">INDIRECT(AZ$5&amp;$AR12+8)&amp;"-"&amp;2</f>
        <v>2046-2</v>
      </c>
      <c r="BA12" s="8" t="str" cm="1">
        <f t="array" aca="1" ref="BA12" ca="1">INDIRECT(BA$5&amp;$AR12+8)&amp;"-"&amp;1</f>
        <v>2045-1</v>
      </c>
      <c r="BB12" s="9" t="str" cm="1">
        <f t="array" aca="1" ref="BB12" ca="1">INDIRECT(BB$5&amp;$AR12+8)&amp;"-"&amp;2</f>
        <v>2045-2</v>
      </c>
      <c r="BC12" s="8" t="str" cm="1">
        <f t="array" aca="1" ref="BC12" ca="1">INDIRECT(BC$5&amp;$AR12+8)&amp;"-"&amp;1</f>
        <v>2044-1</v>
      </c>
      <c r="BD12" s="9" t="str" cm="1">
        <f t="array" aca="1" ref="BD12" ca="1">INDIRECT(BD$5&amp;$AR12+8)&amp;"-"&amp;2</f>
        <v>2044-2</v>
      </c>
      <c r="BE12" s="8" t="str" cm="1">
        <f t="array" aca="1" ref="BE12" ca="1">INDIRECT(BE$5&amp;$AR12+8)&amp;"-"&amp;1</f>
        <v>2043-1</v>
      </c>
      <c r="BF12" s="9" t="str" cm="1">
        <f t="array" aca="1" ref="BF12" ca="1">INDIRECT(BF$5&amp;$AR12+8)&amp;"-"&amp;2</f>
        <v>2043-2</v>
      </c>
      <c r="BG12" s="8" t="str" cm="1">
        <f t="array" aca="1" ref="BG12" ca="1">INDIRECT(BG$5&amp;$AR12+8)&amp;"-"&amp;1</f>
        <v>2042-1</v>
      </c>
      <c r="BH12" s="9" t="str" cm="1">
        <f t="array" aca="1" ref="BH12" ca="1">INDIRECT(BH$5&amp;$AR12+8)&amp;"-"&amp;2</f>
        <v>2042-2</v>
      </c>
      <c r="BI12" s="8" t="str" cm="1">
        <f t="array" aca="1" ref="BI12" ca="1">INDIRECT(BI$5&amp;$AR12+8)&amp;"-"&amp;1</f>
        <v>2041-1</v>
      </c>
      <c r="BJ12" s="9" t="str" cm="1">
        <f t="array" aca="1" ref="BJ12" ca="1">INDIRECT(BJ$5&amp;$AR12+8)&amp;"-"&amp;2</f>
        <v>2041-2</v>
      </c>
      <c r="BK12" s="8" t="str" cm="1">
        <f t="array" aca="1" ref="BK12" ca="1">INDIRECT(BK$5&amp;$AR12+8)&amp;"-"&amp;1</f>
        <v>2040-1</v>
      </c>
      <c r="BL12" s="9" t="str" cm="1">
        <f t="array" aca="1" ref="BL12" ca="1">INDIRECT(BL$5&amp;$AR12+8)&amp;"-"&amp;2</f>
        <v>2040-2</v>
      </c>
      <c r="BM12" s="8" t="str" cm="1">
        <f t="array" aca="1" ref="BM12" ca="1">INDIRECT(BM$5&amp;$AR12+8)&amp;"-"&amp;1</f>
        <v>2039-1</v>
      </c>
      <c r="BN12" s="9" t="str" cm="1">
        <f t="array" aca="1" ref="BN12" ca="1">INDIRECT(BN$5&amp;$AR12+8)&amp;"-"&amp;2</f>
        <v>2039-2</v>
      </c>
      <c r="BO12" s="8" t="str" cm="1">
        <f t="array" aca="1" ref="BO12" ca="1">INDIRECT(BO$5&amp;$AR12+8)&amp;"-"&amp;1</f>
        <v>2038-1</v>
      </c>
      <c r="BP12" s="9" t="str" cm="1">
        <f t="array" aca="1" ref="BP12" ca="1">INDIRECT(BP$5&amp;$AR12+8)&amp;"-"&amp;2</f>
        <v>2038-2</v>
      </c>
      <c r="BQ12" s="8" t="str" cm="1">
        <f t="array" aca="1" ref="BQ12" ca="1">INDIRECT(BQ$5&amp;$AR12+8)&amp;"-"&amp;1</f>
        <v>2037-1</v>
      </c>
      <c r="BR12" s="9" t="str" cm="1">
        <f t="array" aca="1" ref="BR12" ca="1">INDIRECT(BR$5&amp;$AR12+8)&amp;"-"&amp;2</f>
        <v>2037-2</v>
      </c>
      <c r="BS12" s="8" t="str" cm="1">
        <f t="array" aca="1" ref="BS12" ca="1">INDIRECT(BS$5&amp;$AR12+8)&amp;"-"&amp;1</f>
        <v>2036-1</v>
      </c>
      <c r="BT12" s="9" t="str" cm="1">
        <f t="array" aca="1" ref="BT12" ca="1">INDIRECT(BT$5&amp;$AR12+8)&amp;"-"&amp;2</f>
        <v>2036-2</v>
      </c>
      <c r="BU12" s="8" t="str" cm="1">
        <f t="array" aca="1" ref="BU12" ca="1">INDIRECT(BU$5&amp;$AR12+8)&amp;"-"&amp;1</f>
        <v>2035-1</v>
      </c>
      <c r="BV12" s="9" t="str" cm="1">
        <f t="array" aca="1" ref="BV12" ca="1">INDIRECT(BV$5&amp;$AR12+8)&amp;"-"&amp;2</f>
        <v>2035-2</v>
      </c>
      <c r="BW12" s="8" t="str" cm="1">
        <f t="array" aca="1" ref="BW12" ca="1">INDIRECT(BW$5&amp;$AR12+8)&amp;"-"&amp;1</f>
        <v>2034-1</v>
      </c>
      <c r="BX12" s="9" t="str" cm="1">
        <f t="array" aca="1" ref="BX12" ca="1">INDIRECT(BX$5&amp;$AR12+8)&amp;"-"&amp;2</f>
        <v>2034-2</v>
      </c>
      <c r="BY12" s="8" t="str" cm="1">
        <f t="array" aca="1" ref="BY12" ca="1">INDIRECT(BY$5&amp;$AR12+8)&amp;"-"&amp;1</f>
        <v>2033-1</v>
      </c>
      <c r="BZ12" s="9" t="str" cm="1">
        <f t="array" aca="1" ref="BZ12" ca="1">INDIRECT(BZ$5&amp;$AR12+8)&amp;"-"&amp;2</f>
        <v>2033-2</v>
      </c>
      <c r="CA12" s="6" t="str" cm="1">
        <f t="array" aca="1" ref="CA12" ca="1">INDIRECT(CA$5&amp;$AR12+8)&amp;"-"&amp;1</f>
        <v>1048-1</v>
      </c>
      <c r="CB12" s="7" t="str" cm="1">
        <f t="array" aca="1" ref="CB12" ca="1">INDIRECT(CB$5&amp;$AR12+8)&amp;"-"&amp;2</f>
        <v>1048-2</v>
      </c>
      <c r="CC12" s="6" t="str" cm="1">
        <f t="array" aca="1" ref="CC12" ca="1">INDIRECT(CC$5&amp;$AR12+8)&amp;"-"&amp;1</f>
        <v>1047-1</v>
      </c>
      <c r="CD12" s="7" t="str" cm="1">
        <f t="array" aca="1" ref="CD12" ca="1">INDIRECT(CD$5&amp;$AR12+8)&amp;"-"&amp;2</f>
        <v>1047-2</v>
      </c>
      <c r="CE12" s="6" t="str" cm="1">
        <f t="array" aca="1" ref="CE12" ca="1">INDIRECT(CE$5&amp;$AR12+8)&amp;"-"&amp;1</f>
        <v>1046-1</v>
      </c>
      <c r="CF12" s="7" t="str" cm="1">
        <f t="array" aca="1" ref="CF12" ca="1">INDIRECT(CF$5&amp;$AR12+8)&amp;"-"&amp;2</f>
        <v>1046-2</v>
      </c>
      <c r="CG12" s="6" t="str" cm="1">
        <f t="array" aca="1" ref="CG12" ca="1">INDIRECT(CG$5&amp;$AR12+8)&amp;"-"&amp;1</f>
        <v>1045-1</v>
      </c>
      <c r="CH12" s="7" t="str" cm="1">
        <f t="array" aca="1" ref="CH12" ca="1">INDIRECT(CH$5&amp;$AR12+8)&amp;"-"&amp;2</f>
        <v>1045-2</v>
      </c>
      <c r="CI12" s="6" t="str" cm="1">
        <f t="array" aca="1" ref="CI12" ca="1">INDIRECT(CI$5&amp;$AR12+8)&amp;"-"&amp;1</f>
        <v>1044-1</v>
      </c>
      <c r="CJ12" s="7" t="str" cm="1">
        <f t="array" aca="1" ref="CJ12" ca="1">INDIRECT(CJ$5&amp;$AR12+8)&amp;"-"&amp;2</f>
        <v>1044-2</v>
      </c>
      <c r="CK12" s="6" t="str" cm="1">
        <f t="array" aca="1" ref="CK12" ca="1">INDIRECT(CK$5&amp;$AR12+8)&amp;"-"&amp;1</f>
        <v>1043-1</v>
      </c>
      <c r="CL12" s="7" t="str" cm="1">
        <f t="array" aca="1" ref="CL12" ca="1">INDIRECT(CL$5&amp;$AR12+8)&amp;"-"&amp;2</f>
        <v>1043-2</v>
      </c>
      <c r="CM12" s="6" t="str" cm="1">
        <f t="array" aca="1" ref="CM12" ca="1">INDIRECT(CM$5&amp;$AR12+8)&amp;"-"&amp;1</f>
        <v>1042-1</v>
      </c>
      <c r="CN12" s="7" t="str" cm="1">
        <f t="array" aca="1" ref="CN12" ca="1">INDIRECT(CN$5&amp;$AR12+8)&amp;"-"&amp;2</f>
        <v>1042-2</v>
      </c>
      <c r="CO12" s="6" t="str" cm="1">
        <f t="array" aca="1" ref="CO12" ca="1">INDIRECT(CO$5&amp;$AR12+8)&amp;"-"&amp;1</f>
        <v>1041-1</v>
      </c>
      <c r="CP12" s="7" t="str" cm="1">
        <f t="array" aca="1" ref="CP12" ca="1">INDIRECT(CP$5&amp;$AR12+8)&amp;"-"&amp;2</f>
        <v>1041-2</v>
      </c>
      <c r="CQ12" s="6" t="str" cm="1">
        <f t="array" aca="1" ref="CQ12" ca="1">INDIRECT(CQ$5&amp;$AR12+8)&amp;"-"&amp;1</f>
        <v>1040-1</v>
      </c>
      <c r="CR12" s="7" t="str" cm="1">
        <f t="array" aca="1" ref="CR12" ca="1">INDIRECT(CR$5&amp;$AR12+8)&amp;"-"&amp;2</f>
        <v>1040-2</v>
      </c>
      <c r="CS12" s="6" t="str" cm="1">
        <f t="array" aca="1" ref="CS12" ca="1">INDIRECT(CS$5&amp;$AR12+8)&amp;"-"&amp;1</f>
        <v>1039-1</v>
      </c>
      <c r="CT12" s="7" t="str" cm="1">
        <f t="array" aca="1" ref="CT12" ca="1">INDIRECT(CT$5&amp;$AR12+8)&amp;"-"&amp;2</f>
        <v>1039-2</v>
      </c>
      <c r="CU12" s="6" t="str" cm="1">
        <f t="array" aca="1" ref="CU12" ca="1">INDIRECT(CU$5&amp;$AR12+8)&amp;"-"&amp;1</f>
        <v>1038-1</v>
      </c>
      <c r="CV12" s="7" t="str" cm="1">
        <f t="array" aca="1" ref="CV12" ca="1">INDIRECT(CV$5&amp;$AR12+8)&amp;"-"&amp;2</f>
        <v>1038-2</v>
      </c>
      <c r="CW12" s="6" t="str" cm="1">
        <f t="array" aca="1" ref="CW12" ca="1">INDIRECT(CW$5&amp;$AR12+8)&amp;"-"&amp;1</f>
        <v>1037-1</v>
      </c>
      <c r="CX12" s="7" t="str" cm="1">
        <f t="array" aca="1" ref="CX12" ca="1">INDIRECT(CX$5&amp;$AR12+8)&amp;"-"&amp;2</f>
        <v>1037-2</v>
      </c>
      <c r="CY12" s="6" t="str" cm="1">
        <f t="array" aca="1" ref="CY12" ca="1">INDIRECT(CY$5&amp;$AR12+8)&amp;"-"&amp;1</f>
        <v>1036-1</v>
      </c>
      <c r="CZ12" s="7" t="str" cm="1">
        <f t="array" aca="1" ref="CZ12" ca="1">INDIRECT(CZ$5&amp;$AR12+8)&amp;"-"&amp;2</f>
        <v>1036-2</v>
      </c>
      <c r="DA12" s="6" t="str" cm="1">
        <f t="array" aca="1" ref="DA12" ca="1">INDIRECT(DA$5&amp;$AR12+8)&amp;"-"&amp;1</f>
        <v>1035-1</v>
      </c>
      <c r="DB12" s="7" t="str" cm="1">
        <f t="array" aca="1" ref="DB12" ca="1">INDIRECT(DB$5&amp;$AR12+8)&amp;"-"&amp;2</f>
        <v>1035-2</v>
      </c>
      <c r="DC12" s="6" t="str" cm="1">
        <f t="array" aca="1" ref="DC12" ca="1">INDIRECT(DC$5&amp;$AR12+8)&amp;"-"&amp;1</f>
        <v>1034-1</v>
      </c>
      <c r="DD12" s="7" t="str" cm="1">
        <f t="array" aca="1" ref="DD12" ca="1">INDIRECT(DD$5&amp;$AR12+8)&amp;"-"&amp;2</f>
        <v>1034-2</v>
      </c>
      <c r="DE12" s="6" t="str" cm="1">
        <f t="array" aca="1" ref="DE12" ca="1">INDIRECT(DE$5&amp;$AR12+8)&amp;"-"&amp;1</f>
        <v>1033-1</v>
      </c>
      <c r="DF12" s="7" t="str" cm="1">
        <f t="array" aca="1" ref="DF12" ca="1">INDIRECT(DF$5&amp;$AR12+8)&amp;"-"&amp;2</f>
        <v>1033-2</v>
      </c>
      <c r="DG12" s="25" t="str" cm="1">
        <f t="array" aca="1" ref="DG12" ca="1">INDIRECT(DG$5&amp;$AR12+8)</f>
        <v>Border</v>
      </c>
      <c r="DH12" s="25" t="str" cm="1">
        <f t="array" aca="1" ref="DH12" ca="1">INDIRECT(DH$5&amp;$AR12+8)</f>
        <v>Border</v>
      </c>
    </row>
    <row r="13" spans="1:112" ht="40.049999999999997" customHeight="1" x14ac:dyDescent="0.45">
      <c r="A13" s="2"/>
      <c r="B13" s="3">
        <v>5</v>
      </c>
      <c r="C13" s="11" t="s">
        <v>9</v>
      </c>
      <c r="D13" s="5">
        <f t="shared" ref="D13:R13" si="4">E13+1</f>
        <v>2064</v>
      </c>
      <c r="E13" s="5">
        <f t="shared" si="4"/>
        <v>2063</v>
      </c>
      <c r="F13" s="5">
        <f t="shared" si="4"/>
        <v>2062</v>
      </c>
      <c r="G13" s="5">
        <f t="shared" si="4"/>
        <v>2061</v>
      </c>
      <c r="H13" s="5">
        <f t="shared" si="4"/>
        <v>2060</v>
      </c>
      <c r="I13" s="5">
        <f t="shared" si="4"/>
        <v>2059</v>
      </c>
      <c r="J13" s="5">
        <f t="shared" si="4"/>
        <v>2058</v>
      </c>
      <c r="K13" s="5">
        <f t="shared" si="4"/>
        <v>2057</v>
      </c>
      <c r="L13" s="5">
        <f t="shared" si="4"/>
        <v>2056</v>
      </c>
      <c r="M13" s="5">
        <f t="shared" si="4"/>
        <v>2055</v>
      </c>
      <c r="N13" s="5">
        <f t="shared" si="4"/>
        <v>2054</v>
      </c>
      <c r="O13" s="5">
        <f t="shared" si="4"/>
        <v>2053</v>
      </c>
      <c r="P13" s="5">
        <f t="shared" si="4"/>
        <v>2052</v>
      </c>
      <c r="Q13" s="5">
        <f t="shared" si="4"/>
        <v>2051</v>
      </c>
      <c r="R13" s="5">
        <f t="shared" si="4"/>
        <v>2050</v>
      </c>
      <c r="S13" s="5">
        <f t="array" ref="S13">D12+1</f>
        <v>2049</v>
      </c>
      <c r="T13" s="4">
        <f t="shared" si="2"/>
        <v>1064</v>
      </c>
      <c r="U13" s="4">
        <f t="shared" si="2"/>
        <v>1063</v>
      </c>
      <c r="V13" s="4">
        <f t="shared" si="2"/>
        <v>1062</v>
      </c>
      <c r="W13" s="4">
        <f t="shared" si="2"/>
        <v>1061</v>
      </c>
      <c r="X13" s="4">
        <f t="shared" si="2"/>
        <v>1060</v>
      </c>
      <c r="Y13" s="4">
        <f t="shared" si="2"/>
        <v>1059</v>
      </c>
      <c r="Z13" s="4">
        <f t="shared" si="2"/>
        <v>1058</v>
      </c>
      <c r="AA13" s="4">
        <f t="shared" si="2"/>
        <v>1057</v>
      </c>
      <c r="AB13" s="4">
        <f t="shared" si="2"/>
        <v>1056</v>
      </c>
      <c r="AC13" s="4">
        <f t="shared" si="2"/>
        <v>1055</v>
      </c>
      <c r="AD13" s="4">
        <f t="shared" si="2"/>
        <v>1054</v>
      </c>
      <c r="AE13" s="4">
        <f t="shared" si="2"/>
        <v>1053</v>
      </c>
      <c r="AF13" s="4">
        <f t="shared" si="2"/>
        <v>1052</v>
      </c>
      <c r="AG13" s="4">
        <f t="shared" si="2"/>
        <v>1051</v>
      </c>
      <c r="AH13" s="4">
        <f t="shared" si="2"/>
        <v>1050</v>
      </c>
      <c r="AI13" s="4">
        <f t="shared" si="3"/>
        <v>1049</v>
      </c>
      <c r="AJ13" s="11" t="s">
        <v>9</v>
      </c>
      <c r="AQ13" s="2"/>
      <c r="AR13" s="3">
        <v>5</v>
      </c>
      <c r="AS13" s="22" t="str" cm="1">
        <f t="array" aca="1" ref="AS13" ca="1">INDIRECT(AS$5&amp;$AR13+8)</f>
        <v>Border</v>
      </c>
      <c r="AT13" s="23" t="str" cm="1">
        <f t="array" aca="1" ref="AT13" ca="1">INDIRECT(AT$5&amp;$AR13+8)</f>
        <v>Border</v>
      </c>
      <c r="AU13" s="8" t="str" cm="1">
        <f t="array" aca="1" ref="AU13" ca="1">INDIRECT(AU$5&amp;$AR13+8)&amp;"-"&amp;1</f>
        <v>2064-1</v>
      </c>
      <c r="AV13" s="9" t="str" cm="1">
        <f t="array" aca="1" ref="AV13" ca="1">INDIRECT(AV$5&amp;$AR13+8)&amp;"-"&amp;2</f>
        <v>2064-2</v>
      </c>
      <c r="AW13" s="8" t="str" cm="1">
        <f t="array" aca="1" ref="AW13" ca="1">INDIRECT(AW$5&amp;$AR13+8)&amp;"-"&amp;1</f>
        <v>2063-1</v>
      </c>
      <c r="AX13" s="9" t="str" cm="1">
        <f t="array" aca="1" ref="AX13" ca="1">INDIRECT(AX$5&amp;$AR13+8)&amp;"-"&amp;2</f>
        <v>2063-2</v>
      </c>
      <c r="AY13" s="8" t="str" cm="1">
        <f t="array" aca="1" ref="AY13" ca="1">INDIRECT(AY$5&amp;$AR13+8)&amp;"-"&amp;1</f>
        <v>2062-1</v>
      </c>
      <c r="AZ13" s="9" t="str" cm="1">
        <f t="array" aca="1" ref="AZ13" ca="1">INDIRECT(AZ$5&amp;$AR13+8)&amp;"-"&amp;2</f>
        <v>2062-2</v>
      </c>
      <c r="BA13" s="8" t="str" cm="1">
        <f t="array" aca="1" ref="BA13" ca="1">INDIRECT(BA$5&amp;$AR13+8)&amp;"-"&amp;1</f>
        <v>2061-1</v>
      </c>
      <c r="BB13" s="9" t="str" cm="1">
        <f t="array" aca="1" ref="BB13" ca="1">INDIRECT(BB$5&amp;$AR13+8)&amp;"-"&amp;2</f>
        <v>2061-2</v>
      </c>
      <c r="BC13" s="8" t="str" cm="1">
        <f t="array" aca="1" ref="BC13" ca="1">INDIRECT(BC$5&amp;$AR13+8)&amp;"-"&amp;1</f>
        <v>2060-1</v>
      </c>
      <c r="BD13" s="9" t="str" cm="1">
        <f t="array" aca="1" ref="BD13" ca="1">INDIRECT(BD$5&amp;$AR13+8)&amp;"-"&amp;2</f>
        <v>2060-2</v>
      </c>
      <c r="BE13" s="8" t="str" cm="1">
        <f t="array" aca="1" ref="BE13" ca="1">INDIRECT(BE$5&amp;$AR13+8)&amp;"-"&amp;1</f>
        <v>2059-1</v>
      </c>
      <c r="BF13" s="9" t="str" cm="1">
        <f t="array" aca="1" ref="BF13" ca="1">INDIRECT(BF$5&amp;$AR13+8)&amp;"-"&amp;2</f>
        <v>2059-2</v>
      </c>
      <c r="BG13" s="8" t="str" cm="1">
        <f t="array" aca="1" ref="BG13" ca="1">INDIRECT(BG$5&amp;$AR13+8)&amp;"-"&amp;1</f>
        <v>2058-1</v>
      </c>
      <c r="BH13" s="9" t="str" cm="1">
        <f t="array" aca="1" ref="BH13" ca="1">INDIRECT(BH$5&amp;$AR13+8)&amp;"-"&amp;2</f>
        <v>2058-2</v>
      </c>
      <c r="BI13" s="8" t="str" cm="1">
        <f t="array" aca="1" ref="BI13" ca="1">INDIRECT(BI$5&amp;$AR13+8)&amp;"-"&amp;1</f>
        <v>2057-1</v>
      </c>
      <c r="BJ13" s="9" t="str" cm="1">
        <f t="array" aca="1" ref="BJ13" ca="1">INDIRECT(BJ$5&amp;$AR13+8)&amp;"-"&amp;2</f>
        <v>2057-2</v>
      </c>
      <c r="BK13" s="8" t="str" cm="1">
        <f t="array" aca="1" ref="BK13" ca="1">INDIRECT(BK$5&amp;$AR13+8)&amp;"-"&amp;1</f>
        <v>2056-1</v>
      </c>
      <c r="BL13" s="9" t="str" cm="1">
        <f t="array" aca="1" ref="BL13" ca="1">INDIRECT(BL$5&amp;$AR13+8)&amp;"-"&amp;2</f>
        <v>2056-2</v>
      </c>
      <c r="BM13" s="8" t="str" cm="1">
        <f t="array" aca="1" ref="BM13" ca="1">INDIRECT(BM$5&amp;$AR13+8)&amp;"-"&amp;1</f>
        <v>2055-1</v>
      </c>
      <c r="BN13" s="9" t="str" cm="1">
        <f t="array" aca="1" ref="BN13" ca="1">INDIRECT(BN$5&amp;$AR13+8)&amp;"-"&amp;2</f>
        <v>2055-2</v>
      </c>
      <c r="BO13" s="8" t="str" cm="1">
        <f t="array" aca="1" ref="BO13" ca="1">INDIRECT(BO$5&amp;$AR13+8)&amp;"-"&amp;1</f>
        <v>2054-1</v>
      </c>
      <c r="BP13" s="9" t="str" cm="1">
        <f t="array" aca="1" ref="BP13" ca="1">INDIRECT(BP$5&amp;$AR13+8)&amp;"-"&amp;2</f>
        <v>2054-2</v>
      </c>
      <c r="BQ13" s="8" t="str" cm="1">
        <f t="array" aca="1" ref="BQ13" ca="1">INDIRECT(BQ$5&amp;$AR13+8)&amp;"-"&amp;1</f>
        <v>2053-1</v>
      </c>
      <c r="BR13" s="9" t="str" cm="1">
        <f t="array" aca="1" ref="BR13" ca="1">INDIRECT(BR$5&amp;$AR13+8)&amp;"-"&amp;2</f>
        <v>2053-2</v>
      </c>
      <c r="BS13" s="8" t="str" cm="1">
        <f t="array" aca="1" ref="BS13" ca="1">INDIRECT(BS$5&amp;$AR13+8)&amp;"-"&amp;1</f>
        <v>2052-1</v>
      </c>
      <c r="BT13" s="9" t="str" cm="1">
        <f t="array" aca="1" ref="BT13" ca="1">INDIRECT(BT$5&amp;$AR13+8)&amp;"-"&amp;2</f>
        <v>2052-2</v>
      </c>
      <c r="BU13" s="8" t="str" cm="1">
        <f t="array" aca="1" ref="BU13" ca="1">INDIRECT(BU$5&amp;$AR13+8)&amp;"-"&amp;1</f>
        <v>2051-1</v>
      </c>
      <c r="BV13" s="9" t="str" cm="1">
        <f t="array" aca="1" ref="BV13" ca="1">INDIRECT(BV$5&amp;$AR13+8)&amp;"-"&amp;2</f>
        <v>2051-2</v>
      </c>
      <c r="BW13" s="8" t="str" cm="1">
        <f t="array" aca="1" ref="BW13" ca="1">INDIRECT(BW$5&amp;$AR13+8)&amp;"-"&amp;1</f>
        <v>2050-1</v>
      </c>
      <c r="BX13" s="9" t="str" cm="1">
        <f t="array" aca="1" ref="BX13" ca="1">INDIRECT(BX$5&amp;$AR13+8)&amp;"-"&amp;2</f>
        <v>2050-2</v>
      </c>
      <c r="BY13" s="8" t="str" cm="1">
        <f t="array" aca="1" ref="BY13" ca="1">INDIRECT(BY$5&amp;$AR13+8)&amp;"-"&amp;1</f>
        <v>2049-1</v>
      </c>
      <c r="BZ13" s="9" t="str" cm="1">
        <f t="array" aca="1" ref="BZ13" ca="1">INDIRECT(BZ$5&amp;$AR13+8)&amp;"-"&amp;2</f>
        <v>2049-2</v>
      </c>
      <c r="CA13" s="6" t="str" cm="1">
        <f t="array" aca="1" ref="CA13" ca="1">INDIRECT(CA$5&amp;$AR13+8)&amp;"-"&amp;1</f>
        <v>1064-1</v>
      </c>
      <c r="CB13" s="7" t="str" cm="1">
        <f t="array" aca="1" ref="CB13" ca="1">INDIRECT(CB$5&amp;$AR13+8)&amp;"-"&amp;2</f>
        <v>1064-2</v>
      </c>
      <c r="CC13" s="6" t="str" cm="1">
        <f t="array" aca="1" ref="CC13" ca="1">INDIRECT(CC$5&amp;$AR13+8)&amp;"-"&amp;1</f>
        <v>1063-1</v>
      </c>
      <c r="CD13" s="7" t="str" cm="1">
        <f t="array" aca="1" ref="CD13" ca="1">INDIRECT(CD$5&amp;$AR13+8)&amp;"-"&amp;2</f>
        <v>1063-2</v>
      </c>
      <c r="CE13" s="6" t="str" cm="1">
        <f t="array" aca="1" ref="CE13" ca="1">INDIRECT(CE$5&amp;$AR13+8)&amp;"-"&amp;1</f>
        <v>1062-1</v>
      </c>
      <c r="CF13" s="7" t="str" cm="1">
        <f t="array" aca="1" ref="CF13" ca="1">INDIRECT(CF$5&amp;$AR13+8)&amp;"-"&amp;2</f>
        <v>1062-2</v>
      </c>
      <c r="CG13" s="6" t="str" cm="1">
        <f t="array" aca="1" ref="CG13" ca="1">INDIRECT(CG$5&amp;$AR13+8)&amp;"-"&amp;1</f>
        <v>1061-1</v>
      </c>
      <c r="CH13" s="7" t="str" cm="1">
        <f t="array" aca="1" ref="CH13" ca="1">INDIRECT(CH$5&amp;$AR13+8)&amp;"-"&amp;2</f>
        <v>1061-2</v>
      </c>
      <c r="CI13" s="6" t="str" cm="1">
        <f t="array" aca="1" ref="CI13" ca="1">INDIRECT(CI$5&amp;$AR13+8)&amp;"-"&amp;1</f>
        <v>1060-1</v>
      </c>
      <c r="CJ13" s="7" t="str" cm="1">
        <f t="array" aca="1" ref="CJ13" ca="1">INDIRECT(CJ$5&amp;$AR13+8)&amp;"-"&amp;2</f>
        <v>1060-2</v>
      </c>
      <c r="CK13" s="6" t="str" cm="1">
        <f t="array" aca="1" ref="CK13" ca="1">INDIRECT(CK$5&amp;$AR13+8)&amp;"-"&amp;1</f>
        <v>1059-1</v>
      </c>
      <c r="CL13" s="7" t="str" cm="1">
        <f t="array" aca="1" ref="CL13" ca="1">INDIRECT(CL$5&amp;$AR13+8)&amp;"-"&amp;2</f>
        <v>1059-2</v>
      </c>
      <c r="CM13" s="6" t="str" cm="1">
        <f t="array" aca="1" ref="CM13" ca="1">INDIRECT(CM$5&amp;$AR13+8)&amp;"-"&amp;1</f>
        <v>1058-1</v>
      </c>
      <c r="CN13" s="7" t="str" cm="1">
        <f t="array" aca="1" ref="CN13" ca="1">INDIRECT(CN$5&amp;$AR13+8)&amp;"-"&amp;2</f>
        <v>1058-2</v>
      </c>
      <c r="CO13" s="6" t="str" cm="1">
        <f t="array" aca="1" ref="CO13" ca="1">INDIRECT(CO$5&amp;$AR13+8)&amp;"-"&amp;1</f>
        <v>1057-1</v>
      </c>
      <c r="CP13" s="7" t="str" cm="1">
        <f t="array" aca="1" ref="CP13" ca="1">INDIRECT(CP$5&amp;$AR13+8)&amp;"-"&amp;2</f>
        <v>1057-2</v>
      </c>
      <c r="CQ13" s="6" t="str" cm="1">
        <f t="array" aca="1" ref="CQ13" ca="1">INDIRECT(CQ$5&amp;$AR13+8)&amp;"-"&amp;1</f>
        <v>1056-1</v>
      </c>
      <c r="CR13" s="7" t="str" cm="1">
        <f t="array" aca="1" ref="CR13" ca="1">INDIRECT(CR$5&amp;$AR13+8)&amp;"-"&amp;2</f>
        <v>1056-2</v>
      </c>
      <c r="CS13" s="6" t="str" cm="1">
        <f t="array" aca="1" ref="CS13" ca="1">INDIRECT(CS$5&amp;$AR13+8)&amp;"-"&amp;1</f>
        <v>1055-1</v>
      </c>
      <c r="CT13" s="7" t="str" cm="1">
        <f t="array" aca="1" ref="CT13" ca="1">INDIRECT(CT$5&amp;$AR13+8)&amp;"-"&amp;2</f>
        <v>1055-2</v>
      </c>
      <c r="CU13" s="6" t="str" cm="1">
        <f t="array" aca="1" ref="CU13" ca="1">INDIRECT(CU$5&amp;$AR13+8)&amp;"-"&amp;1</f>
        <v>1054-1</v>
      </c>
      <c r="CV13" s="7" t="str" cm="1">
        <f t="array" aca="1" ref="CV13" ca="1">INDIRECT(CV$5&amp;$AR13+8)&amp;"-"&amp;2</f>
        <v>1054-2</v>
      </c>
      <c r="CW13" s="6" t="str" cm="1">
        <f t="array" aca="1" ref="CW13" ca="1">INDIRECT(CW$5&amp;$AR13+8)&amp;"-"&amp;1</f>
        <v>1053-1</v>
      </c>
      <c r="CX13" s="7" t="str" cm="1">
        <f t="array" aca="1" ref="CX13" ca="1">INDIRECT(CX$5&amp;$AR13+8)&amp;"-"&amp;2</f>
        <v>1053-2</v>
      </c>
      <c r="CY13" s="6" t="str" cm="1">
        <f t="array" aca="1" ref="CY13" ca="1">INDIRECT(CY$5&amp;$AR13+8)&amp;"-"&amp;1</f>
        <v>1052-1</v>
      </c>
      <c r="CZ13" s="7" t="str" cm="1">
        <f t="array" aca="1" ref="CZ13" ca="1">INDIRECT(CZ$5&amp;$AR13+8)&amp;"-"&amp;2</f>
        <v>1052-2</v>
      </c>
      <c r="DA13" s="6" t="str" cm="1">
        <f t="array" aca="1" ref="DA13" ca="1">INDIRECT(DA$5&amp;$AR13+8)&amp;"-"&amp;1</f>
        <v>1051-1</v>
      </c>
      <c r="DB13" s="7" t="str" cm="1">
        <f t="array" aca="1" ref="DB13" ca="1">INDIRECT(DB$5&amp;$AR13+8)&amp;"-"&amp;2</f>
        <v>1051-2</v>
      </c>
      <c r="DC13" s="6" t="str" cm="1">
        <f t="array" aca="1" ref="DC13" ca="1">INDIRECT(DC$5&amp;$AR13+8)&amp;"-"&amp;1</f>
        <v>1050-1</v>
      </c>
      <c r="DD13" s="7" t="str" cm="1">
        <f t="array" aca="1" ref="DD13" ca="1">INDIRECT(DD$5&amp;$AR13+8)&amp;"-"&amp;2</f>
        <v>1050-2</v>
      </c>
      <c r="DE13" s="6" t="str" cm="1">
        <f t="array" aca="1" ref="DE13" ca="1">INDIRECT(DE$5&amp;$AR13+8)&amp;"-"&amp;1</f>
        <v>1049-1</v>
      </c>
      <c r="DF13" s="7" t="str" cm="1">
        <f t="array" aca="1" ref="DF13" ca="1">INDIRECT(DF$5&amp;$AR13+8)&amp;"-"&amp;2</f>
        <v>1049-2</v>
      </c>
      <c r="DG13" s="25" t="str" cm="1">
        <f t="array" aca="1" ref="DG13" ca="1">INDIRECT(DG$5&amp;$AR13+8)</f>
        <v>Border</v>
      </c>
      <c r="DH13" s="25" t="str" cm="1">
        <f t="array" aca="1" ref="DH13" ca="1">INDIRECT(DH$5&amp;$AR13+8)</f>
        <v>Border</v>
      </c>
    </row>
    <row r="14" spans="1:112" ht="40.049999999999997" customHeight="1" x14ac:dyDescent="0.45">
      <c r="A14" s="2"/>
      <c r="B14" s="3">
        <v>6</v>
      </c>
      <c r="C14" s="11" t="s">
        <v>9</v>
      </c>
      <c r="D14" s="5">
        <f t="shared" ref="D14:R14" si="5">E14+1</f>
        <v>2080</v>
      </c>
      <c r="E14" s="5">
        <f t="shared" si="5"/>
        <v>2079</v>
      </c>
      <c r="F14" s="5">
        <f t="shared" si="5"/>
        <v>2078</v>
      </c>
      <c r="G14" s="5">
        <f t="shared" si="5"/>
        <v>2077</v>
      </c>
      <c r="H14" s="5">
        <f t="shared" si="5"/>
        <v>2076</v>
      </c>
      <c r="I14" s="5">
        <f t="shared" si="5"/>
        <v>2075</v>
      </c>
      <c r="J14" s="5">
        <f t="shared" si="5"/>
        <v>2074</v>
      </c>
      <c r="K14" s="5">
        <f t="shared" si="5"/>
        <v>2073</v>
      </c>
      <c r="L14" s="5">
        <f t="shared" si="5"/>
        <v>2072</v>
      </c>
      <c r="M14" s="5">
        <f t="shared" si="5"/>
        <v>2071</v>
      </c>
      <c r="N14" s="5">
        <f t="shared" si="5"/>
        <v>2070</v>
      </c>
      <c r="O14" s="5">
        <f t="shared" si="5"/>
        <v>2069</v>
      </c>
      <c r="P14" s="5">
        <f t="shared" si="5"/>
        <v>2068</v>
      </c>
      <c r="Q14" s="5">
        <f t="shared" si="5"/>
        <v>2067</v>
      </c>
      <c r="R14" s="5">
        <f t="shared" si="5"/>
        <v>2066</v>
      </c>
      <c r="S14" s="5">
        <f t="array" ref="S14">D13+1</f>
        <v>2065</v>
      </c>
      <c r="T14" s="4">
        <f t="shared" si="2"/>
        <v>1080</v>
      </c>
      <c r="U14" s="4">
        <f t="shared" si="2"/>
        <v>1079</v>
      </c>
      <c r="V14" s="4">
        <f t="shared" si="2"/>
        <v>1078</v>
      </c>
      <c r="W14" s="4">
        <f t="shared" si="2"/>
        <v>1077</v>
      </c>
      <c r="X14" s="4">
        <f t="shared" si="2"/>
        <v>1076</v>
      </c>
      <c r="Y14" s="4">
        <f t="shared" si="2"/>
        <v>1075</v>
      </c>
      <c r="Z14" s="4">
        <f t="shared" si="2"/>
        <v>1074</v>
      </c>
      <c r="AA14" s="4">
        <f t="shared" si="2"/>
        <v>1073</v>
      </c>
      <c r="AB14" s="4">
        <f t="shared" si="2"/>
        <v>1072</v>
      </c>
      <c r="AC14" s="4">
        <f t="shared" si="2"/>
        <v>1071</v>
      </c>
      <c r="AD14" s="4">
        <f t="shared" si="2"/>
        <v>1070</v>
      </c>
      <c r="AE14" s="4">
        <f t="shared" si="2"/>
        <v>1069</v>
      </c>
      <c r="AF14" s="4">
        <f t="shared" si="2"/>
        <v>1068</v>
      </c>
      <c r="AG14" s="4">
        <f t="shared" si="2"/>
        <v>1067</v>
      </c>
      <c r="AH14" s="4">
        <f t="shared" si="2"/>
        <v>1066</v>
      </c>
      <c r="AI14" s="4">
        <f t="shared" si="3"/>
        <v>1065</v>
      </c>
      <c r="AJ14" s="11" t="s">
        <v>9</v>
      </c>
      <c r="AQ14" s="2"/>
      <c r="AR14" s="3">
        <v>6</v>
      </c>
      <c r="AS14" s="22" t="str" cm="1">
        <f t="array" aca="1" ref="AS14" ca="1">INDIRECT(AS$5&amp;$AR14+8)</f>
        <v>Border</v>
      </c>
      <c r="AT14" s="23" t="str" cm="1">
        <f t="array" aca="1" ref="AT14" ca="1">INDIRECT(AT$5&amp;$AR14+8)</f>
        <v>Border</v>
      </c>
      <c r="AU14" s="8" t="str" cm="1">
        <f t="array" aca="1" ref="AU14" ca="1">INDIRECT(AU$5&amp;$AR14+8)&amp;"-"&amp;1</f>
        <v>2080-1</v>
      </c>
      <c r="AV14" s="9" t="str" cm="1">
        <f t="array" aca="1" ref="AV14" ca="1">INDIRECT(AV$5&amp;$AR14+8)&amp;"-"&amp;2</f>
        <v>2080-2</v>
      </c>
      <c r="AW14" s="8" t="str" cm="1">
        <f t="array" aca="1" ref="AW14" ca="1">INDIRECT(AW$5&amp;$AR14+8)&amp;"-"&amp;1</f>
        <v>2079-1</v>
      </c>
      <c r="AX14" s="9" t="str" cm="1">
        <f t="array" aca="1" ref="AX14" ca="1">INDIRECT(AX$5&amp;$AR14+8)&amp;"-"&amp;2</f>
        <v>2079-2</v>
      </c>
      <c r="AY14" s="8" t="str" cm="1">
        <f t="array" aca="1" ref="AY14" ca="1">INDIRECT(AY$5&amp;$AR14+8)&amp;"-"&amp;1</f>
        <v>2078-1</v>
      </c>
      <c r="AZ14" s="9" t="str" cm="1">
        <f t="array" aca="1" ref="AZ14" ca="1">INDIRECT(AZ$5&amp;$AR14+8)&amp;"-"&amp;2</f>
        <v>2078-2</v>
      </c>
      <c r="BA14" s="8" t="str" cm="1">
        <f t="array" aca="1" ref="BA14" ca="1">INDIRECT(BA$5&amp;$AR14+8)&amp;"-"&amp;1</f>
        <v>2077-1</v>
      </c>
      <c r="BB14" s="9" t="str" cm="1">
        <f t="array" aca="1" ref="BB14" ca="1">INDIRECT(BB$5&amp;$AR14+8)&amp;"-"&amp;2</f>
        <v>2077-2</v>
      </c>
      <c r="BC14" s="8" t="str" cm="1">
        <f t="array" aca="1" ref="BC14" ca="1">INDIRECT(BC$5&amp;$AR14+8)&amp;"-"&amp;1</f>
        <v>2076-1</v>
      </c>
      <c r="BD14" s="9" t="str" cm="1">
        <f t="array" aca="1" ref="BD14" ca="1">INDIRECT(BD$5&amp;$AR14+8)&amp;"-"&amp;2</f>
        <v>2076-2</v>
      </c>
      <c r="BE14" s="8" t="str" cm="1">
        <f t="array" aca="1" ref="BE14" ca="1">INDIRECT(BE$5&amp;$AR14+8)&amp;"-"&amp;1</f>
        <v>2075-1</v>
      </c>
      <c r="BF14" s="9" t="str" cm="1">
        <f t="array" aca="1" ref="BF14" ca="1">INDIRECT(BF$5&amp;$AR14+8)&amp;"-"&amp;2</f>
        <v>2075-2</v>
      </c>
      <c r="BG14" s="8" t="str" cm="1">
        <f t="array" aca="1" ref="BG14" ca="1">INDIRECT(BG$5&amp;$AR14+8)&amp;"-"&amp;1</f>
        <v>2074-1</v>
      </c>
      <c r="BH14" s="9" t="str" cm="1">
        <f t="array" aca="1" ref="BH14" ca="1">INDIRECT(BH$5&amp;$AR14+8)&amp;"-"&amp;2</f>
        <v>2074-2</v>
      </c>
      <c r="BI14" s="8" t="str" cm="1">
        <f t="array" aca="1" ref="BI14" ca="1">INDIRECT(BI$5&amp;$AR14+8)&amp;"-"&amp;1</f>
        <v>2073-1</v>
      </c>
      <c r="BJ14" s="9" t="str" cm="1">
        <f t="array" aca="1" ref="BJ14" ca="1">INDIRECT(BJ$5&amp;$AR14+8)&amp;"-"&amp;2</f>
        <v>2073-2</v>
      </c>
      <c r="BK14" s="8" t="str" cm="1">
        <f t="array" aca="1" ref="BK14" ca="1">INDIRECT(BK$5&amp;$AR14+8)&amp;"-"&amp;1</f>
        <v>2072-1</v>
      </c>
      <c r="BL14" s="9" t="str" cm="1">
        <f t="array" aca="1" ref="BL14" ca="1">INDIRECT(BL$5&amp;$AR14+8)&amp;"-"&amp;2</f>
        <v>2072-2</v>
      </c>
      <c r="BM14" s="8" t="str" cm="1">
        <f t="array" aca="1" ref="BM14" ca="1">INDIRECT(BM$5&amp;$AR14+8)&amp;"-"&amp;1</f>
        <v>2071-1</v>
      </c>
      <c r="BN14" s="9" t="str" cm="1">
        <f t="array" aca="1" ref="BN14" ca="1">INDIRECT(BN$5&amp;$AR14+8)&amp;"-"&amp;2</f>
        <v>2071-2</v>
      </c>
      <c r="BO14" s="8" t="str" cm="1">
        <f t="array" aca="1" ref="BO14" ca="1">INDIRECT(BO$5&amp;$AR14+8)&amp;"-"&amp;1</f>
        <v>2070-1</v>
      </c>
      <c r="BP14" s="9" t="str" cm="1">
        <f t="array" aca="1" ref="BP14" ca="1">INDIRECT(BP$5&amp;$AR14+8)&amp;"-"&amp;2</f>
        <v>2070-2</v>
      </c>
      <c r="BQ14" s="8" t="str" cm="1">
        <f t="array" aca="1" ref="BQ14" ca="1">INDIRECT(BQ$5&amp;$AR14+8)&amp;"-"&amp;1</f>
        <v>2069-1</v>
      </c>
      <c r="BR14" s="9" t="str" cm="1">
        <f t="array" aca="1" ref="BR14" ca="1">INDIRECT(BR$5&amp;$AR14+8)&amp;"-"&amp;2</f>
        <v>2069-2</v>
      </c>
      <c r="BS14" s="8" t="str" cm="1">
        <f t="array" aca="1" ref="BS14" ca="1">INDIRECT(BS$5&amp;$AR14+8)&amp;"-"&amp;1</f>
        <v>2068-1</v>
      </c>
      <c r="BT14" s="9" t="str" cm="1">
        <f t="array" aca="1" ref="BT14" ca="1">INDIRECT(BT$5&amp;$AR14+8)&amp;"-"&amp;2</f>
        <v>2068-2</v>
      </c>
      <c r="BU14" s="8" t="str" cm="1">
        <f t="array" aca="1" ref="BU14" ca="1">INDIRECT(BU$5&amp;$AR14+8)&amp;"-"&amp;1</f>
        <v>2067-1</v>
      </c>
      <c r="BV14" s="9" t="str" cm="1">
        <f t="array" aca="1" ref="BV14" ca="1">INDIRECT(BV$5&amp;$AR14+8)&amp;"-"&amp;2</f>
        <v>2067-2</v>
      </c>
      <c r="BW14" s="8" t="str" cm="1">
        <f t="array" aca="1" ref="BW14" ca="1">INDIRECT(BW$5&amp;$AR14+8)&amp;"-"&amp;1</f>
        <v>2066-1</v>
      </c>
      <c r="BX14" s="9" t="str" cm="1">
        <f t="array" aca="1" ref="BX14" ca="1">INDIRECT(BX$5&amp;$AR14+8)&amp;"-"&amp;2</f>
        <v>2066-2</v>
      </c>
      <c r="BY14" s="8" t="str" cm="1">
        <f t="array" aca="1" ref="BY14" ca="1">INDIRECT(BY$5&amp;$AR14+8)&amp;"-"&amp;1</f>
        <v>2065-1</v>
      </c>
      <c r="BZ14" s="9" t="str" cm="1">
        <f t="array" aca="1" ref="BZ14" ca="1">INDIRECT(BZ$5&amp;$AR14+8)&amp;"-"&amp;2</f>
        <v>2065-2</v>
      </c>
      <c r="CA14" s="6" t="str" cm="1">
        <f t="array" aca="1" ref="CA14" ca="1">INDIRECT(CA$5&amp;$AR14+8)&amp;"-"&amp;1</f>
        <v>1080-1</v>
      </c>
      <c r="CB14" s="7" t="str" cm="1">
        <f t="array" aca="1" ref="CB14" ca="1">INDIRECT(CB$5&amp;$AR14+8)&amp;"-"&amp;2</f>
        <v>1080-2</v>
      </c>
      <c r="CC14" s="6" t="str" cm="1">
        <f t="array" aca="1" ref="CC14" ca="1">INDIRECT(CC$5&amp;$AR14+8)&amp;"-"&amp;1</f>
        <v>1079-1</v>
      </c>
      <c r="CD14" s="7" t="str" cm="1">
        <f t="array" aca="1" ref="CD14" ca="1">INDIRECT(CD$5&amp;$AR14+8)&amp;"-"&amp;2</f>
        <v>1079-2</v>
      </c>
      <c r="CE14" s="6" t="str" cm="1">
        <f t="array" aca="1" ref="CE14" ca="1">INDIRECT(CE$5&amp;$AR14+8)&amp;"-"&amp;1</f>
        <v>1078-1</v>
      </c>
      <c r="CF14" s="7" t="str" cm="1">
        <f t="array" aca="1" ref="CF14" ca="1">INDIRECT(CF$5&amp;$AR14+8)&amp;"-"&amp;2</f>
        <v>1078-2</v>
      </c>
      <c r="CG14" s="6" t="str" cm="1">
        <f t="array" aca="1" ref="CG14" ca="1">INDIRECT(CG$5&amp;$AR14+8)&amp;"-"&amp;1</f>
        <v>1077-1</v>
      </c>
      <c r="CH14" s="7" t="str" cm="1">
        <f t="array" aca="1" ref="CH14" ca="1">INDIRECT(CH$5&amp;$AR14+8)&amp;"-"&amp;2</f>
        <v>1077-2</v>
      </c>
      <c r="CI14" s="6" t="str" cm="1">
        <f t="array" aca="1" ref="CI14" ca="1">INDIRECT(CI$5&amp;$AR14+8)&amp;"-"&amp;1</f>
        <v>1076-1</v>
      </c>
      <c r="CJ14" s="7" t="str" cm="1">
        <f t="array" aca="1" ref="CJ14" ca="1">INDIRECT(CJ$5&amp;$AR14+8)&amp;"-"&amp;2</f>
        <v>1076-2</v>
      </c>
      <c r="CK14" s="6" t="str" cm="1">
        <f t="array" aca="1" ref="CK14" ca="1">INDIRECT(CK$5&amp;$AR14+8)&amp;"-"&amp;1</f>
        <v>1075-1</v>
      </c>
      <c r="CL14" s="7" t="str" cm="1">
        <f t="array" aca="1" ref="CL14" ca="1">INDIRECT(CL$5&amp;$AR14+8)&amp;"-"&amp;2</f>
        <v>1075-2</v>
      </c>
      <c r="CM14" s="6" t="str" cm="1">
        <f t="array" aca="1" ref="CM14" ca="1">INDIRECT(CM$5&amp;$AR14+8)&amp;"-"&amp;1</f>
        <v>1074-1</v>
      </c>
      <c r="CN14" s="7" t="str" cm="1">
        <f t="array" aca="1" ref="CN14" ca="1">INDIRECT(CN$5&amp;$AR14+8)&amp;"-"&amp;2</f>
        <v>1074-2</v>
      </c>
      <c r="CO14" s="6" t="str" cm="1">
        <f t="array" aca="1" ref="CO14" ca="1">INDIRECT(CO$5&amp;$AR14+8)&amp;"-"&amp;1</f>
        <v>1073-1</v>
      </c>
      <c r="CP14" s="7" t="str" cm="1">
        <f t="array" aca="1" ref="CP14" ca="1">INDIRECT(CP$5&amp;$AR14+8)&amp;"-"&amp;2</f>
        <v>1073-2</v>
      </c>
      <c r="CQ14" s="6" t="str" cm="1">
        <f t="array" aca="1" ref="CQ14" ca="1">INDIRECT(CQ$5&amp;$AR14+8)&amp;"-"&amp;1</f>
        <v>1072-1</v>
      </c>
      <c r="CR14" s="7" t="str" cm="1">
        <f t="array" aca="1" ref="CR14" ca="1">INDIRECT(CR$5&amp;$AR14+8)&amp;"-"&amp;2</f>
        <v>1072-2</v>
      </c>
      <c r="CS14" s="6" t="str" cm="1">
        <f t="array" aca="1" ref="CS14" ca="1">INDIRECT(CS$5&amp;$AR14+8)&amp;"-"&amp;1</f>
        <v>1071-1</v>
      </c>
      <c r="CT14" s="7" t="str" cm="1">
        <f t="array" aca="1" ref="CT14" ca="1">INDIRECT(CT$5&amp;$AR14+8)&amp;"-"&amp;2</f>
        <v>1071-2</v>
      </c>
      <c r="CU14" s="6" t="str" cm="1">
        <f t="array" aca="1" ref="CU14" ca="1">INDIRECT(CU$5&amp;$AR14+8)&amp;"-"&amp;1</f>
        <v>1070-1</v>
      </c>
      <c r="CV14" s="7" t="str" cm="1">
        <f t="array" aca="1" ref="CV14" ca="1">INDIRECT(CV$5&amp;$AR14+8)&amp;"-"&amp;2</f>
        <v>1070-2</v>
      </c>
      <c r="CW14" s="6" t="str" cm="1">
        <f t="array" aca="1" ref="CW14" ca="1">INDIRECT(CW$5&amp;$AR14+8)&amp;"-"&amp;1</f>
        <v>1069-1</v>
      </c>
      <c r="CX14" s="7" t="str" cm="1">
        <f t="array" aca="1" ref="CX14" ca="1">INDIRECT(CX$5&amp;$AR14+8)&amp;"-"&amp;2</f>
        <v>1069-2</v>
      </c>
      <c r="CY14" s="6" t="str" cm="1">
        <f t="array" aca="1" ref="CY14" ca="1">INDIRECT(CY$5&amp;$AR14+8)&amp;"-"&amp;1</f>
        <v>1068-1</v>
      </c>
      <c r="CZ14" s="7" t="str" cm="1">
        <f t="array" aca="1" ref="CZ14" ca="1">INDIRECT(CZ$5&amp;$AR14+8)&amp;"-"&amp;2</f>
        <v>1068-2</v>
      </c>
      <c r="DA14" s="6" t="str" cm="1">
        <f t="array" aca="1" ref="DA14" ca="1">INDIRECT(DA$5&amp;$AR14+8)&amp;"-"&amp;1</f>
        <v>1067-1</v>
      </c>
      <c r="DB14" s="7" t="str" cm="1">
        <f t="array" aca="1" ref="DB14" ca="1">INDIRECT(DB$5&amp;$AR14+8)&amp;"-"&amp;2</f>
        <v>1067-2</v>
      </c>
      <c r="DC14" s="6" t="str" cm="1">
        <f t="array" aca="1" ref="DC14" ca="1">INDIRECT(DC$5&amp;$AR14+8)&amp;"-"&amp;1</f>
        <v>1066-1</v>
      </c>
      <c r="DD14" s="7" t="str" cm="1">
        <f t="array" aca="1" ref="DD14" ca="1">INDIRECT(DD$5&amp;$AR14+8)&amp;"-"&amp;2</f>
        <v>1066-2</v>
      </c>
      <c r="DE14" s="6" t="str" cm="1">
        <f t="array" aca="1" ref="DE14" ca="1">INDIRECT(DE$5&amp;$AR14+8)&amp;"-"&amp;1</f>
        <v>1065-1</v>
      </c>
      <c r="DF14" s="7" t="str" cm="1">
        <f t="array" aca="1" ref="DF14" ca="1">INDIRECT(DF$5&amp;$AR14+8)&amp;"-"&amp;2</f>
        <v>1065-2</v>
      </c>
      <c r="DG14" s="25" t="str" cm="1">
        <f t="array" aca="1" ref="DG14" ca="1">INDIRECT(DG$5&amp;$AR14+8)</f>
        <v>Border</v>
      </c>
      <c r="DH14" s="25" t="str" cm="1">
        <f t="array" aca="1" ref="DH14" ca="1">INDIRECT(DH$5&amp;$AR14+8)</f>
        <v>Border</v>
      </c>
    </row>
    <row r="15" spans="1:112" ht="40.049999999999997" customHeight="1" x14ac:dyDescent="0.45">
      <c r="A15" s="2"/>
      <c r="B15" s="3">
        <v>7</v>
      </c>
      <c r="C15" s="11" t="s">
        <v>9</v>
      </c>
      <c r="D15" s="5">
        <f t="shared" ref="D15:R15" si="6">E15+1</f>
        <v>2096</v>
      </c>
      <c r="E15" s="5">
        <f t="shared" si="6"/>
        <v>2095</v>
      </c>
      <c r="F15" s="5">
        <f t="shared" si="6"/>
        <v>2094</v>
      </c>
      <c r="G15" s="5">
        <f t="shared" si="6"/>
        <v>2093</v>
      </c>
      <c r="H15" s="5">
        <f t="shared" si="6"/>
        <v>2092</v>
      </c>
      <c r="I15" s="5">
        <f t="shared" si="6"/>
        <v>2091</v>
      </c>
      <c r="J15" s="5">
        <f t="shared" si="6"/>
        <v>2090</v>
      </c>
      <c r="K15" s="5">
        <f t="shared" si="6"/>
        <v>2089</v>
      </c>
      <c r="L15" s="5">
        <f t="shared" si="6"/>
        <v>2088</v>
      </c>
      <c r="M15" s="5">
        <f t="shared" si="6"/>
        <v>2087</v>
      </c>
      <c r="N15" s="5">
        <f t="shared" si="6"/>
        <v>2086</v>
      </c>
      <c r="O15" s="5">
        <f t="shared" si="6"/>
        <v>2085</v>
      </c>
      <c r="P15" s="5">
        <f t="shared" si="6"/>
        <v>2084</v>
      </c>
      <c r="Q15" s="5">
        <f t="shared" si="6"/>
        <v>2083</v>
      </c>
      <c r="R15" s="5">
        <f t="shared" si="6"/>
        <v>2082</v>
      </c>
      <c r="S15" s="5">
        <f t="array" ref="S15">D14+1</f>
        <v>2081</v>
      </c>
      <c r="T15" s="4">
        <f t="shared" si="2"/>
        <v>1096</v>
      </c>
      <c r="U15" s="4">
        <f t="shared" si="2"/>
        <v>1095</v>
      </c>
      <c r="V15" s="4">
        <f t="shared" si="2"/>
        <v>1094</v>
      </c>
      <c r="W15" s="4">
        <f t="shared" si="2"/>
        <v>1093</v>
      </c>
      <c r="X15" s="4">
        <f t="shared" si="2"/>
        <v>1092</v>
      </c>
      <c r="Y15" s="4">
        <f t="shared" si="2"/>
        <v>1091</v>
      </c>
      <c r="Z15" s="4">
        <f t="shared" si="2"/>
        <v>1090</v>
      </c>
      <c r="AA15" s="4">
        <f t="shared" si="2"/>
        <v>1089</v>
      </c>
      <c r="AB15" s="4">
        <f t="shared" si="2"/>
        <v>1088</v>
      </c>
      <c r="AC15" s="4">
        <f t="shared" si="2"/>
        <v>1087</v>
      </c>
      <c r="AD15" s="4">
        <f t="shared" si="2"/>
        <v>1086</v>
      </c>
      <c r="AE15" s="4">
        <f t="shared" si="2"/>
        <v>1085</v>
      </c>
      <c r="AF15" s="4">
        <f t="shared" si="2"/>
        <v>1084</v>
      </c>
      <c r="AG15" s="4">
        <f t="shared" si="2"/>
        <v>1083</v>
      </c>
      <c r="AH15" s="4">
        <f t="shared" si="2"/>
        <v>1082</v>
      </c>
      <c r="AI15" s="4">
        <f t="shared" si="3"/>
        <v>1081</v>
      </c>
      <c r="AJ15" s="11" t="s">
        <v>9</v>
      </c>
      <c r="AQ15" s="2"/>
      <c r="AR15" s="3">
        <v>7</v>
      </c>
      <c r="AS15" s="22" t="str" cm="1">
        <f t="array" aca="1" ref="AS15" ca="1">INDIRECT(AS$5&amp;$AR15+8)</f>
        <v>Border</v>
      </c>
      <c r="AT15" s="23" t="str" cm="1">
        <f t="array" aca="1" ref="AT15" ca="1">INDIRECT(AT$5&amp;$AR15+8)</f>
        <v>Border</v>
      </c>
      <c r="AU15" s="8" t="str" cm="1">
        <f t="array" aca="1" ref="AU15" ca="1">INDIRECT(AU$5&amp;$AR15+8)&amp;"-"&amp;1</f>
        <v>2096-1</v>
      </c>
      <c r="AV15" s="9" t="str" cm="1">
        <f t="array" aca="1" ref="AV15" ca="1">INDIRECT(AV$5&amp;$AR15+8)&amp;"-"&amp;2</f>
        <v>2096-2</v>
      </c>
      <c r="AW15" s="8" t="str" cm="1">
        <f t="array" aca="1" ref="AW15" ca="1">INDIRECT(AW$5&amp;$AR15+8)&amp;"-"&amp;1</f>
        <v>2095-1</v>
      </c>
      <c r="AX15" s="9" t="str" cm="1">
        <f t="array" aca="1" ref="AX15" ca="1">INDIRECT(AX$5&amp;$AR15+8)&amp;"-"&amp;2</f>
        <v>2095-2</v>
      </c>
      <c r="AY15" s="8" t="str" cm="1">
        <f t="array" aca="1" ref="AY15" ca="1">INDIRECT(AY$5&amp;$AR15+8)&amp;"-"&amp;1</f>
        <v>2094-1</v>
      </c>
      <c r="AZ15" s="9" t="str" cm="1">
        <f t="array" aca="1" ref="AZ15" ca="1">INDIRECT(AZ$5&amp;$AR15+8)&amp;"-"&amp;2</f>
        <v>2094-2</v>
      </c>
      <c r="BA15" s="8" t="str" cm="1">
        <f t="array" aca="1" ref="BA15" ca="1">INDIRECT(BA$5&amp;$AR15+8)&amp;"-"&amp;1</f>
        <v>2093-1</v>
      </c>
      <c r="BB15" s="9" t="str" cm="1">
        <f t="array" aca="1" ref="BB15" ca="1">INDIRECT(BB$5&amp;$AR15+8)&amp;"-"&amp;2</f>
        <v>2093-2</v>
      </c>
      <c r="BC15" s="8" t="str" cm="1">
        <f t="array" aca="1" ref="BC15" ca="1">INDIRECT(BC$5&amp;$AR15+8)&amp;"-"&amp;1</f>
        <v>2092-1</v>
      </c>
      <c r="BD15" s="9" t="str" cm="1">
        <f t="array" aca="1" ref="BD15" ca="1">INDIRECT(BD$5&amp;$AR15+8)&amp;"-"&amp;2</f>
        <v>2092-2</v>
      </c>
      <c r="BE15" s="8" t="str" cm="1">
        <f t="array" aca="1" ref="BE15" ca="1">INDIRECT(BE$5&amp;$AR15+8)&amp;"-"&amp;1</f>
        <v>2091-1</v>
      </c>
      <c r="BF15" s="9" t="str" cm="1">
        <f t="array" aca="1" ref="BF15" ca="1">INDIRECT(BF$5&amp;$AR15+8)&amp;"-"&amp;2</f>
        <v>2091-2</v>
      </c>
      <c r="BG15" s="8" t="str" cm="1">
        <f t="array" aca="1" ref="BG15" ca="1">INDIRECT(BG$5&amp;$AR15+8)&amp;"-"&amp;1</f>
        <v>2090-1</v>
      </c>
      <c r="BH15" s="9" t="str" cm="1">
        <f t="array" aca="1" ref="BH15" ca="1">INDIRECT(BH$5&amp;$AR15+8)&amp;"-"&amp;2</f>
        <v>2090-2</v>
      </c>
      <c r="BI15" s="8" t="str" cm="1">
        <f t="array" aca="1" ref="BI15" ca="1">INDIRECT(BI$5&amp;$AR15+8)&amp;"-"&amp;1</f>
        <v>2089-1</v>
      </c>
      <c r="BJ15" s="9" t="str" cm="1">
        <f t="array" aca="1" ref="BJ15" ca="1">INDIRECT(BJ$5&amp;$AR15+8)&amp;"-"&amp;2</f>
        <v>2089-2</v>
      </c>
      <c r="BK15" s="8" t="str" cm="1">
        <f t="array" aca="1" ref="BK15" ca="1">INDIRECT(BK$5&amp;$AR15+8)&amp;"-"&amp;1</f>
        <v>2088-1</v>
      </c>
      <c r="BL15" s="9" t="str" cm="1">
        <f t="array" aca="1" ref="BL15" ca="1">INDIRECT(BL$5&amp;$AR15+8)&amp;"-"&amp;2</f>
        <v>2088-2</v>
      </c>
      <c r="BM15" s="8" t="str" cm="1">
        <f t="array" aca="1" ref="BM15" ca="1">INDIRECT(BM$5&amp;$AR15+8)&amp;"-"&amp;1</f>
        <v>2087-1</v>
      </c>
      <c r="BN15" s="9" t="str" cm="1">
        <f t="array" aca="1" ref="BN15" ca="1">INDIRECT(BN$5&amp;$AR15+8)&amp;"-"&amp;2</f>
        <v>2087-2</v>
      </c>
      <c r="BO15" s="8" t="str" cm="1">
        <f t="array" aca="1" ref="BO15" ca="1">INDIRECT(BO$5&amp;$AR15+8)&amp;"-"&amp;1</f>
        <v>2086-1</v>
      </c>
      <c r="BP15" s="9" t="str" cm="1">
        <f t="array" aca="1" ref="BP15" ca="1">INDIRECT(BP$5&amp;$AR15+8)&amp;"-"&amp;2</f>
        <v>2086-2</v>
      </c>
      <c r="BQ15" s="8" t="str" cm="1">
        <f t="array" aca="1" ref="BQ15" ca="1">INDIRECT(BQ$5&amp;$AR15+8)&amp;"-"&amp;1</f>
        <v>2085-1</v>
      </c>
      <c r="BR15" s="9" t="str" cm="1">
        <f t="array" aca="1" ref="BR15" ca="1">INDIRECT(BR$5&amp;$AR15+8)&amp;"-"&amp;2</f>
        <v>2085-2</v>
      </c>
      <c r="BS15" s="8" t="str" cm="1">
        <f t="array" aca="1" ref="BS15" ca="1">INDIRECT(BS$5&amp;$AR15+8)&amp;"-"&amp;1</f>
        <v>2084-1</v>
      </c>
      <c r="BT15" s="9" t="str" cm="1">
        <f t="array" aca="1" ref="BT15" ca="1">INDIRECT(BT$5&amp;$AR15+8)&amp;"-"&amp;2</f>
        <v>2084-2</v>
      </c>
      <c r="BU15" s="8" t="str" cm="1">
        <f t="array" aca="1" ref="BU15" ca="1">INDIRECT(BU$5&amp;$AR15+8)&amp;"-"&amp;1</f>
        <v>2083-1</v>
      </c>
      <c r="BV15" s="9" t="str" cm="1">
        <f t="array" aca="1" ref="BV15" ca="1">INDIRECT(BV$5&amp;$AR15+8)&amp;"-"&amp;2</f>
        <v>2083-2</v>
      </c>
      <c r="BW15" s="8" t="str" cm="1">
        <f t="array" aca="1" ref="BW15" ca="1">INDIRECT(BW$5&amp;$AR15+8)&amp;"-"&amp;1</f>
        <v>2082-1</v>
      </c>
      <c r="BX15" s="9" t="str" cm="1">
        <f t="array" aca="1" ref="BX15" ca="1">INDIRECT(BX$5&amp;$AR15+8)&amp;"-"&amp;2</f>
        <v>2082-2</v>
      </c>
      <c r="BY15" s="8" t="str" cm="1">
        <f t="array" aca="1" ref="BY15" ca="1">INDIRECT(BY$5&amp;$AR15+8)&amp;"-"&amp;1</f>
        <v>2081-1</v>
      </c>
      <c r="BZ15" s="9" t="str" cm="1">
        <f t="array" aca="1" ref="BZ15" ca="1">INDIRECT(BZ$5&amp;$AR15+8)&amp;"-"&amp;2</f>
        <v>2081-2</v>
      </c>
      <c r="CA15" s="6" t="str" cm="1">
        <f t="array" aca="1" ref="CA15" ca="1">INDIRECT(CA$5&amp;$AR15+8)&amp;"-"&amp;1</f>
        <v>1096-1</v>
      </c>
      <c r="CB15" s="7" t="str" cm="1">
        <f t="array" aca="1" ref="CB15" ca="1">INDIRECT(CB$5&amp;$AR15+8)&amp;"-"&amp;2</f>
        <v>1096-2</v>
      </c>
      <c r="CC15" s="6" t="str" cm="1">
        <f t="array" aca="1" ref="CC15" ca="1">INDIRECT(CC$5&amp;$AR15+8)&amp;"-"&amp;1</f>
        <v>1095-1</v>
      </c>
      <c r="CD15" s="7" t="str" cm="1">
        <f t="array" aca="1" ref="CD15" ca="1">INDIRECT(CD$5&amp;$AR15+8)&amp;"-"&amp;2</f>
        <v>1095-2</v>
      </c>
      <c r="CE15" s="6" t="str" cm="1">
        <f t="array" aca="1" ref="CE15" ca="1">INDIRECT(CE$5&amp;$AR15+8)&amp;"-"&amp;1</f>
        <v>1094-1</v>
      </c>
      <c r="CF15" s="7" t="str" cm="1">
        <f t="array" aca="1" ref="CF15" ca="1">INDIRECT(CF$5&amp;$AR15+8)&amp;"-"&amp;2</f>
        <v>1094-2</v>
      </c>
      <c r="CG15" s="6" t="str" cm="1">
        <f t="array" aca="1" ref="CG15" ca="1">INDIRECT(CG$5&amp;$AR15+8)&amp;"-"&amp;1</f>
        <v>1093-1</v>
      </c>
      <c r="CH15" s="7" t="str" cm="1">
        <f t="array" aca="1" ref="CH15" ca="1">INDIRECT(CH$5&amp;$AR15+8)&amp;"-"&amp;2</f>
        <v>1093-2</v>
      </c>
      <c r="CI15" s="6" t="str" cm="1">
        <f t="array" aca="1" ref="CI15" ca="1">INDIRECT(CI$5&amp;$AR15+8)&amp;"-"&amp;1</f>
        <v>1092-1</v>
      </c>
      <c r="CJ15" s="7" t="str" cm="1">
        <f t="array" aca="1" ref="CJ15" ca="1">INDIRECT(CJ$5&amp;$AR15+8)&amp;"-"&amp;2</f>
        <v>1092-2</v>
      </c>
      <c r="CK15" s="6" t="str" cm="1">
        <f t="array" aca="1" ref="CK15" ca="1">INDIRECT(CK$5&amp;$AR15+8)&amp;"-"&amp;1</f>
        <v>1091-1</v>
      </c>
      <c r="CL15" s="7" t="str" cm="1">
        <f t="array" aca="1" ref="CL15" ca="1">INDIRECT(CL$5&amp;$AR15+8)&amp;"-"&amp;2</f>
        <v>1091-2</v>
      </c>
      <c r="CM15" s="6" t="str" cm="1">
        <f t="array" aca="1" ref="CM15" ca="1">INDIRECT(CM$5&amp;$AR15+8)&amp;"-"&amp;1</f>
        <v>1090-1</v>
      </c>
      <c r="CN15" s="7" t="str" cm="1">
        <f t="array" aca="1" ref="CN15" ca="1">INDIRECT(CN$5&amp;$AR15+8)&amp;"-"&amp;2</f>
        <v>1090-2</v>
      </c>
      <c r="CO15" s="6" t="str" cm="1">
        <f t="array" aca="1" ref="CO15" ca="1">INDIRECT(CO$5&amp;$AR15+8)&amp;"-"&amp;1</f>
        <v>1089-1</v>
      </c>
      <c r="CP15" s="7" t="str" cm="1">
        <f t="array" aca="1" ref="CP15" ca="1">INDIRECT(CP$5&amp;$AR15+8)&amp;"-"&amp;2</f>
        <v>1089-2</v>
      </c>
      <c r="CQ15" s="6" t="str" cm="1">
        <f t="array" aca="1" ref="CQ15" ca="1">INDIRECT(CQ$5&amp;$AR15+8)&amp;"-"&amp;1</f>
        <v>1088-1</v>
      </c>
      <c r="CR15" s="7" t="str" cm="1">
        <f t="array" aca="1" ref="CR15" ca="1">INDIRECT(CR$5&amp;$AR15+8)&amp;"-"&amp;2</f>
        <v>1088-2</v>
      </c>
      <c r="CS15" s="6" t="str" cm="1">
        <f t="array" aca="1" ref="CS15" ca="1">INDIRECT(CS$5&amp;$AR15+8)&amp;"-"&amp;1</f>
        <v>1087-1</v>
      </c>
      <c r="CT15" s="7" t="str" cm="1">
        <f t="array" aca="1" ref="CT15" ca="1">INDIRECT(CT$5&amp;$AR15+8)&amp;"-"&amp;2</f>
        <v>1087-2</v>
      </c>
      <c r="CU15" s="6" t="str" cm="1">
        <f t="array" aca="1" ref="CU15" ca="1">INDIRECT(CU$5&amp;$AR15+8)&amp;"-"&amp;1</f>
        <v>1086-1</v>
      </c>
      <c r="CV15" s="7" t="str" cm="1">
        <f t="array" aca="1" ref="CV15" ca="1">INDIRECT(CV$5&amp;$AR15+8)&amp;"-"&amp;2</f>
        <v>1086-2</v>
      </c>
      <c r="CW15" s="6" t="str" cm="1">
        <f t="array" aca="1" ref="CW15" ca="1">INDIRECT(CW$5&amp;$AR15+8)&amp;"-"&amp;1</f>
        <v>1085-1</v>
      </c>
      <c r="CX15" s="7" t="str" cm="1">
        <f t="array" aca="1" ref="CX15" ca="1">INDIRECT(CX$5&amp;$AR15+8)&amp;"-"&amp;2</f>
        <v>1085-2</v>
      </c>
      <c r="CY15" s="6" t="str" cm="1">
        <f t="array" aca="1" ref="CY15" ca="1">INDIRECT(CY$5&amp;$AR15+8)&amp;"-"&amp;1</f>
        <v>1084-1</v>
      </c>
      <c r="CZ15" s="7" t="str" cm="1">
        <f t="array" aca="1" ref="CZ15" ca="1">INDIRECT(CZ$5&amp;$AR15+8)&amp;"-"&amp;2</f>
        <v>1084-2</v>
      </c>
      <c r="DA15" s="6" t="str" cm="1">
        <f t="array" aca="1" ref="DA15" ca="1">INDIRECT(DA$5&amp;$AR15+8)&amp;"-"&amp;1</f>
        <v>1083-1</v>
      </c>
      <c r="DB15" s="7" t="str" cm="1">
        <f t="array" aca="1" ref="DB15" ca="1">INDIRECT(DB$5&amp;$AR15+8)&amp;"-"&amp;2</f>
        <v>1083-2</v>
      </c>
      <c r="DC15" s="6" t="str" cm="1">
        <f t="array" aca="1" ref="DC15" ca="1">INDIRECT(DC$5&amp;$AR15+8)&amp;"-"&amp;1</f>
        <v>1082-1</v>
      </c>
      <c r="DD15" s="7" t="str" cm="1">
        <f t="array" aca="1" ref="DD15" ca="1">INDIRECT(DD$5&amp;$AR15+8)&amp;"-"&amp;2</f>
        <v>1082-2</v>
      </c>
      <c r="DE15" s="6" t="str" cm="1">
        <f t="array" aca="1" ref="DE15" ca="1">INDIRECT(DE$5&amp;$AR15+8)&amp;"-"&amp;1</f>
        <v>1081-1</v>
      </c>
      <c r="DF15" s="7" t="str" cm="1">
        <f t="array" aca="1" ref="DF15" ca="1">INDIRECT(DF$5&amp;$AR15+8)&amp;"-"&amp;2</f>
        <v>1081-2</v>
      </c>
      <c r="DG15" s="25" t="str" cm="1">
        <f t="array" aca="1" ref="DG15" ca="1">INDIRECT(DG$5&amp;$AR15+8)</f>
        <v>Border</v>
      </c>
      <c r="DH15" s="25" t="str" cm="1">
        <f t="array" aca="1" ref="DH15" ca="1">INDIRECT(DH$5&amp;$AR15+8)</f>
        <v>Border</v>
      </c>
    </row>
    <row r="16" spans="1:112" ht="40.049999999999997" customHeight="1" x14ac:dyDescent="0.45">
      <c r="A16" s="2"/>
      <c r="B16" s="3">
        <v>8</v>
      </c>
      <c r="C16" s="11" t="s">
        <v>9</v>
      </c>
      <c r="D16" s="5">
        <f t="shared" ref="D16:R16" si="7">E16+1</f>
        <v>2112</v>
      </c>
      <c r="E16" s="5">
        <f t="shared" si="7"/>
        <v>2111</v>
      </c>
      <c r="F16" s="5">
        <f t="shared" si="7"/>
        <v>2110</v>
      </c>
      <c r="G16" s="5">
        <f t="shared" si="7"/>
        <v>2109</v>
      </c>
      <c r="H16" s="5">
        <f t="shared" si="7"/>
        <v>2108</v>
      </c>
      <c r="I16" s="5">
        <f t="shared" si="7"/>
        <v>2107</v>
      </c>
      <c r="J16" s="5">
        <f t="shared" si="7"/>
        <v>2106</v>
      </c>
      <c r="K16" s="5">
        <f t="shared" si="7"/>
        <v>2105</v>
      </c>
      <c r="L16" s="5">
        <f t="shared" si="7"/>
        <v>2104</v>
      </c>
      <c r="M16" s="5">
        <f t="shared" si="7"/>
        <v>2103</v>
      </c>
      <c r="N16" s="5">
        <f t="shared" si="7"/>
        <v>2102</v>
      </c>
      <c r="O16" s="5">
        <f t="shared" si="7"/>
        <v>2101</v>
      </c>
      <c r="P16" s="5">
        <f t="shared" si="7"/>
        <v>2100</v>
      </c>
      <c r="Q16" s="5">
        <f t="shared" si="7"/>
        <v>2099</v>
      </c>
      <c r="R16" s="5">
        <f t="shared" si="7"/>
        <v>2098</v>
      </c>
      <c r="S16" s="5">
        <f t="array" ref="S16">D15+1</f>
        <v>2097</v>
      </c>
      <c r="T16" s="4">
        <f t="shared" si="2"/>
        <v>1112</v>
      </c>
      <c r="U16" s="4">
        <f t="shared" si="2"/>
        <v>1111</v>
      </c>
      <c r="V16" s="4">
        <f t="shared" si="2"/>
        <v>1110</v>
      </c>
      <c r="W16" s="4">
        <f t="shared" si="2"/>
        <v>1109</v>
      </c>
      <c r="X16" s="4">
        <f t="shared" si="2"/>
        <v>1108</v>
      </c>
      <c r="Y16" s="4">
        <f t="shared" si="2"/>
        <v>1107</v>
      </c>
      <c r="Z16" s="4">
        <f t="shared" si="2"/>
        <v>1106</v>
      </c>
      <c r="AA16" s="4">
        <f t="shared" si="2"/>
        <v>1105</v>
      </c>
      <c r="AB16" s="4">
        <f t="shared" si="2"/>
        <v>1104</v>
      </c>
      <c r="AC16" s="4">
        <f t="shared" si="2"/>
        <v>1103</v>
      </c>
      <c r="AD16" s="4">
        <f t="shared" si="2"/>
        <v>1102</v>
      </c>
      <c r="AE16" s="4">
        <f t="shared" si="2"/>
        <v>1101</v>
      </c>
      <c r="AF16" s="4">
        <f t="shared" si="2"/>
        <v>1100</v>
      </c>
      <c r="AG16" s="4">
        <f t="shared" si="2"/>
        <v>1099</v>
      </c>
      <c r="AH16" s="4">
        <f t="shared" si="2"/>
        <v>1098</v>
      </c>
      <c r="AI16" s="4">
        <f t="shared" si="3"/>
        <v>1097</v>
      </c>
      <c r="AJ16" s="11" t="s">
        <v>9</v>
      </c>
      <c r="AQ16" s="2"/>
      <c r="AR16" s="3">
        <v>8</v>
      </c>
      <c r="AS16" s="22" t="str" cm="1">
        <f t="array" aca="1" ref="AS16" ca="1">INDIRECT(AS$5&amp;$AR16+8)</f>
        <v>Border</v>
      </c>
      <c r="AT16" s="23" t="str" cm="1">
        <f t="array" aca="1" ref="AT16" ca="1">INDIRECT(AT$5&amp;$AR16+8)</f>
        <v>Border</v>
      </c>
      <c r="AU16" s="8" t="str" cm="1">
        <f t="array" aca="1" ref="AU16" ca="1">INDIRECT(AU$5&amp;$AR16+8)&amp;"-"&amp;1</f>
        <v>2112-1</v>
      </c>
      <c r="AV16" s="9" t="str" cm="1">
        <f t="array" aca="1" ref="AV16" ca="1">INDIRECT(AV$5&amp;$AR16+8)&amp;"-"&amp;2</f>
        <v>2112-2</v>
      </c>
      <c r="AW16" s="8" t="str" cm="1">
        <f t="array" aca="1" ref="AW16" ca="1">INDIRECT(AW$5&amp;$AR16+8)&amp;"-"&amp;1</f>
        <v>2111-1</v>
      </c>
      <c r="AX16" s="9" t="str" cm="1">
        <f t="array" aca="1" ref="AX16" ca="1">INDIRECT(AX$5&amp;$AR16+8)&amp;"-"&amp;2</f>
        <v>2111-2</v>
      </c>
      <c r="AY16" s="8" t="str" cm="1">
        <f t="array" aca="1" ref="AY16" ca="1">INDIRECT(AY$5&amp;$AR16+8)&amp;"-"&amp;1</f>
        <v>2110-1</v>
      </c>
      <c r="AZ16" s="9" t="str" cm="1">
        <f t="array" aca="1" ref="AZ16" ca="1">INDIRECT(AZ$5&amp;$AR16+8)&amp;"-"&amp;2</f>
        <v>2110-2</v>
      </c>
      <c r="BA16" s="8" t="str" cm="1">
        <f t="array" aca="1" ref="BA16" ca="1">INDIRECT(BA$5&amp;$AR16+8)&amp;"-"&amp;1</f>
        <v>2109-1</v>
      </c>
      <c r="BB16" s="9" t="str" cm="1">
        <f t="array" aca="1" ref="BB16" ca="1">INDIRECT(BB$5&amp;$AR16+8)&amp;"-"&amp;2</f>
        <v>2109-2</v>
      </c>
      <c r="BC16" s="8" t="str" cm="1">
        <f t="array" aca="1" ref="BC16" ca="1">INDIRECT(BC$5&amp;$AR16+8)&amp;"-"&amp;1</f>
        <v>2108-1</v>
      </c>
      <c r="BD16" s="9" t="str" cm="1">
        <f t="array" aca="1" ref="BD16" ca="1">INDIRECT(BD$5&amp;$AR16+8)&amp;"-"&amp;2</f>
        <v>2108-2</v>
      </c>
      <c r="BE16" s="8" t="str" cm="1">
        <f t="array" aca="1" ref="BE16" ca="1">INDIRECT(BE$5&amp;$AR16+8)&amp;"-"&amp;1</f>
        <v>2107-1</v>
      </c>
      <c r="BF16" s="9" t="str" cm="1">
        <f t="array" aca="1" ref="BF16" ca="1">INDIRECT(BF$5&amp;$AR16+8)&amp;"-"&amp;2</f>
        <v>2107-2</v>
      </c>
      <c r="BG16" s="8" t="str" cm="1">
        <f t="array" aca="1" ref="BG16" ca="1">INDIRECT(BG$5&amp;$AR16+8)&amp;"-"&amp;1</f>
        <v>2106-1</v>
      </c>
      <c r="BH16" s="9" t="str" cm="1">
        <f t="array" aca="1" ref="BH16" ca="1">INDIRECT(BH$5&amp;$AR16+8)&amp;"-"&amp;2</f>
        <v>2106-2</v>
      </c>
      <c r="BI16" s="8" t="str" cm="1">
        <f t="array" aca="1" ref="BI16" ca="1">INDIRECT(BI$5&amp;$AR16+8)&amp;"-"&amp;1</f>
        <v>2105-1</v>
      </c>
      <c r="BJ16" s="9" t="str" cm="1">
        <f t="array" aca="1" ref="BJ16" ca="1">INDIRECT(BJ$5&amp;$AR16+8)&amp;"-"&amp;2</f>
        <v>2105-2</v>
      </c>
      <c r="BK16" s="8" t="str" cm="1">
        <f t="array" aca="1" ref="BK16" ca="1">INDIRECT(BK$5&amp;$AR16+8)&amp;"-"&amp;1</f>
        <v>2104-1</v>
      </c>
      <c r="BL16" s="9" t="str" cm="1">
        <f t="array" aca="1" ref="BL16" ca="1">INDIRECT(BL$5&amp;$AR16+8)&amp;"-"&amp;2</f>
        <v>2104-2</v>
      </c>
      <c r="BM16" s="8" t="str" cm="1">
        <f t="array" aca="1" ref="BM16" ca="1">INDIRECT(BM$5&amp;$AR16+8)&amp;"-"&amp;1</f>
        <v>2103-1</v>
      </c>
      <c r="BN16" s="9" t="str" cm="1">
        <f t="array" aca="1" ref="BN16" ca="1">INDIRECT(BN$5&amp;$AR16+8)&amp;"-"&amp;2</f>
        <v>2103-2</v>
      </c>
      <c r="BO16" s="8" t="str" cm="1">
        <f t="array" aca="1" ref="BO16" ca="1">INDIRECT(BO$5&amp;$AR16+8)&amp;"-"&amp;1</f>
        <v>2102-1</v>
      </c>
      <c r="BP16" s="9" t="str" cm="1">
        <f t="array" aca="1" ref="BP16" ca="1">INDIRECT(BP$5&amp;$AR16+8)&amp;"-"&amp;2</f>
        <v>2102-2</v>
      </c>
      <c r="BQ16" s="8" t="str" cm="1">
        <f t="array" aca="1" ref="BQ16" ca="1">INDIRECT(BQ$5&amp;$AR16+8)&amp;"-"&amp;1</f>
        <v>2101-1</v>
      </c>
      <c r="BR16" s="9" t="str" cm="1">
        <f t="array" aca="1" ref="BR16" ca="1">INDIRECT(BR$5&amp;$AR16+8)&amp;"-"&amp;2</f>
        <v>2101-2</v>
      </c>
      <c r="BS16" s="8" t="str" cm="1">
        <f t="array" aca="1" ref="BS16" ca="1">INDIRECT(BS$5&amp;$AR16+8)&amp;"-"&amp;1</f>
        <v>2100-1</v>
      </c>
      <c r="BT16" s="9" t="str" cm="1">
        <f t="array" aca="1" ref="BT16" ca="1">INDIRECT(BT$5&amp;$AR16+8)&amp;"-"&amp;2</f>
        <v>2100-2</v>
      </c>
      <c r="BU16" s="8" t="str" cm="1">
        <f t="array" aca="1" ref="BU16" ca="1">INDIRECT(BU$5&amp;$AR16+8)&amp;"-"&amp;1</f>
        <v>2099-1</v>
      </c>
      <c r="BV16" s="9" t="str" cm="1">
        <f t="array" aca="1" ref="BV16" ca="1">INDIRECT(BV$5&amp;$AR16+8)&amp;"-"&amp;2</f>
        <v>2099-2</v>
      </c>
      <c r="BW16" s="8" t="str" cm="1">
        <f t="array" aca="1" ref="BW16" ca="1">INDIRECT(BW$5&amp;$AR16+8)&amp;"-"&amp;1</f>
        <v>2098-1</v>
      </c>
      <c r="BX16" s="9" t="str" cm="1">
        <f t="array" aca="1" ref="BX16" ca="1">INDIRECT(BX$5&amp;$AR16+8)&amp;"-"&amp;2</f>
        <v>2098-2</v>
      </c>
      <c r="BY16" s="8" t="str" cm="1">
        <f t="array" aca="1" ref="BY16" ca="1">INDIRECT(BY$5&amp;$AR16+8)&amp;"-"&amp;1</f>
        <v>2097-1</v>
      </c>
      <c r="BZ16" s="9" t="str" cm="1">
        <f t="array" aca="1" ref="BZ16" ca="1">INDIRECT(BZ$5&amp;$AR16+8)&amp;"-"&amp;2</f>
        <v>2097-2</v>
      </c>
      <c r="CA16" s="6" t="str" cm="1">
        <f t="array" aca="1" ref="CA16" ca="1">INDIRECT(CA$5&amp;$AR16+8)&amp;"-"&amp;1</f>
        <v>1112-1</v>
      </c>
      <c r="CB16" s="7" t="str" cm="1">
        <f t="array" aca="1" ref="CB16" ca="1">INDIRECT(CB$5&amp;$AR16+8)&amp;"-"&amp;2</f>
        <v>1112-2</v>
      </c>
      <c r="CC16" s="6" t="str" cm="1">
        <f t="array" aca="1" ref="CC16" ca="1">INDIRECT(CC$5&amp;$AR16+8)&amp;"-"&amp;1</f>
        <v>1111-1</v>
      </c>
      <c r="CD16" s="7" t="str" cm="1">
        <f t="array" aca="1" ref="CD16" ca="1">INDIRECT(CD$5&amp;$AR16+8)&amp;"-"&amp;2</f>
        <v>1111-2</v>
      </c>
      <c r="CE16" s="6" t="str" cm="1">
        <f t="array" aca="1" ref="CE16" ca="1">INDIRECT(CE$5&amp;$AR16+8)&amp;"-"&amp;1</f>
        <v>1110-1</v>
      </c>
      <c r="CF16" s="7" t="str" cm="1">
        <f t="array" aca="1" ref="CF16" ca="1">INDIRECT(CF$5&amp;$AR16+8)&amp;"-"&amp;2</f>
        <v>1110-2</v>
      </c>
      <c r="CG16" s="6" t="str" cm="1">
        <f t="array" aca="1" ref="CG16" ca="1">INDIRECT(CG$5&amp;$AR16+8)&amp;"-"&amp;1</f>
        <v>1109-1</v>
      </c>
      <c r="CH16" s="7" t="str" cm="1">
        <f t="array" aca="1" ref="CH16" ca="1">INDIRECT(CH$5&amp;$AR16+8)&amp;"-"&amp;2</f>
        <v>1109-2</v>
      </c>
      <c r="CI16" s="6" t="str" cm="1">
        <f t="array" aca="1" ref="CI16" ca="1">INDIRECT(CI$5&amp;$AR16+8)&amp;"-"&amp;1</f>
        <v>1108-1</v>
      </c>
      <c r="CJ16" s="7" t="str" cm="1">
        <f t="array" aca="1" ref="CJ16" ca="1">INDIRECT(CJ$5&amp;$AR16+8)&amp;"-"&amp;2</f>
        <v>1108-2</v>
      </c>
      <c r="CK16" s="6" t="str" cm="1">
        <f t="array" aca="1" ref="CK16" ca="1">INDIRECT(CK$5&amp;$AR16+8)&amp;"-"&amp;1</f>
        <v>1107-1</v>
      </c>
      <c r="CL16" s="7" t="str" cm="1">
        <f t="array" aca="1" ref="CL16" ca="1">INDIRECT(CL$5&amp;$AR16+8)&amp;"-"&amp;2</f>
        <v>1107-2</v>
      </c>
      <c r="CM16" s="6" t="str" cm="1">
        <f t="array" aca="1" ref="CM16" ca="1">INDIRECT(CM$5&amp;$AR16+8)&amp;"-"&amp;1</f>
        <v>1106-1</v>
      </c>
      <c r="CN16" s="7" t="str" cm="1">
        <f t="array" aca="1" ref="CN16" ca="1">INDIRECT(CN$5&amp;$AR16+8)&amp;"-"&amp;2</f>
        <v>1106-2</v>
      </c>
      <c r="CO16" s="6" t="str" cm="1">
        <f t="array" aca="1" ref="CO16" ca="1">INDIRECT(CO$5&amp;$AR16+8)&amp;"-"&amp;1</f>
        <v>1105-1</v>
      </c>
      <c r="CP16" s="7" t="str" cm="1">
        <f t="array" aca="1" ref="CP16" ca="1">INDIRECT(CP$5&amp;$AR16+8)&amp;"-"&amp;2</f>
        <v>1105-2</v>
      </c>
      <c r="CQ16" s="6" t="str" cm="1">
        <f t="array" aca="1" ref="CQ16" ca="1">INDIRECT(CQ$5&amp;$AR16+8)&amp;"-"&amp;1</f>
        <v>1104-1</v>
      </c>
      <c r="CR16" s="7" t="str" cm="1">
        <f t="array" aca="1" ref="CR16" ca="1">INDIRECT(CR$5&amp;$AR16+8)&amp;"-"&amp;2</f>
        <v>1104-2</v>
      </c>
      <c r="CS16" s="6" t="str" cm="1">
        <f t="array" aca="1" ref="CS16" ca="1">INDIRECT(CS$5&amp;$AR16+8)&amp;"-"&amp;1</f>
        <v>1103-1</v>
      </c>
      <c r="CT16" s="7" t="str" cm="1">
        <f t="array" aca="1" ref="CT16" ca="1">INDIRECT(CT$5&amp;$AR16+8)&amp;"-"&amp;2</f>
        <v>1103-2</v>
      </c>
      <c r="CU16" s="6" t="str" cm="1">
        <f t="array" aca="1" ref="CU16" ca="1">INDIRECT(CU$5&amp;$AR16+8)&amp;"-"&amp;1</f>
        <v>1102-1</v>
      </c>
      <c r="CV16" s="7" t="str" cm="1">
        <f t="array" aca="1" ref="CV16" ca="1">INDIRECT(CV$5&amp;$AR16+8)&amp;"-"&amp;2</f>
        <v>1102-2</v>
      </c>
      <c r="CW16" s="6" t="str" cm="1">
        <f t="array" aca="1" ref="CW16" ca="1">INDIRECT(CW$5&amp;$AR16+8)&amp;"-"&amp;1</f>
        <v>1101-1</v>
      </c>
      <c r="CX16" s="7" t="str" cm="1">
        <f t="array" aca="1" ref="CX16" ca="1">INDIRECT(CX$5&amp;$AR16+8)&amp;"-"&amp;2</f>
        <v>1101-2</v>
      </c>
      <c r="CY16" s="6" t="str" cm="1">
        <f t="array" aca="1" ref="CY16" ca="1">INDIRECT(CY$5&amp;$AR16+8)&amp;"-"&amp;1</f>
        <v>1100-1</v>
      </c>
      <c r="CZ16" s="7" t="str" cm="1">
        <f t="array" aca="1" ref="CZ16" ca="1">INDIRECT(CZ$5&amp;$AR16+8)&amp;"-"&amp;2</f>
        <v>1100-2</v>
      </c>
      <c r="DA16" s="6" t="str" cm="1">
        <f t="array" aca="1" ref="DA16" ca="1">INDIRECT(DA$5&amp;$AR16+8)&amp;"-"&amp;1</f>
        <v>1099-1</v>
      </c>
      <c r="DB16" s="7" t="str" cm="1">
        <f t="array" aca="1" ref="DB16" ca="1">INDIRECT(DB$5&amp;$AR16+8)&amp;"-"&amp;2</f>
        <v>1099-2</v>
      </c>
      <c r="DC16" s="6" t="str" cm="1">
        <f t="array" aca="1" ref="DC16" ca="1">INDIRECT(DC$5&amp;$AR16+8)&amp;"-"&amp;1</f>
        <v>1098-1</v>
      </c>
      <c r="DD16" s="7" t="str" cm="1">
        <f t="array" aca="1" ref="DD16" ca="1">INDIRECT(DD$5&amp;$AR16+8)&amp;"-"&amp;2</f>
        <v>1098-2</v>
      </c>
      <c r="DE16" s="6" t="str" cm="1">
        <f t="array" aca="1" ref="DE16" ca="1">INDIRECT(DE$5&amp;$AR16+8)&amp;"-"&amp;1</f>
        <v>1097-1</v>
      </c>
      <c r="DF16" s="7" t="str" cm="1">
        <f t="array" aca="1" ref="DF16" ca="1">INDIRECT(DF$5&amp;$AR16+8)&amp;"-"&amp;2</f>
        <v>1097-2</v>
      </c>
      <c r="DG16" s="25" t="str" cm="1">
        <f t="array" aca="1" ref="DG16" ca="1">INDIRECT(DG$5&amp;$AR16+8)</f>
        <v>Border</v>
      </c>
      <c r="DH16" s="25" t="str" cm="1">
        <f t="array" aca="1" ref="DH16" ca="1">INDIRECT(DH$5&amp;$AR16+8)</f>
        <v>Border</v>
      </c>
    </row>
    <row r="17" spans="1:112" ht="40.049999999999997" customHeight="1" x14ac:dyDescent="0.45">
      <c r="A17" s="2"/>
      <c r="B17" s="3">
        <v>9</v>
      </c>
      <c r="C17" s="11" t="s">
        <v>9</v>
      </c>
      <c r="D17" s="5">
        <f t="shared" ref="D17:R17" si="8">E17+1</f>
        <v>2128</v>
      </c>
      <c r="E17" s="5">
        <f t="shared" si="8"/>
        <v>2127</v>
      </c>
      <c r="F17" s="5">
        <f t="shared" si="8"/>
        <v>2126</v>
      </c>
      <c r="G17" s="5">
        <f t="shared" si="8"/>
        <v>2125</v>
      </c>
      <c r="H17" s="5">
        <f t="shared" si="8"/>
        <v>2124</v>
      </c>
      <c r="I17" s="5">
        <f t="shared" si="8"/>
        <v>2123</v>
      </c>
      <c r="J17" s="5">
        <f t="shared" si="8"/>
        <v>2122</v>
      </c>
      <c r="K17" s="5">
        <f t="shared" si="8"/>
        <v>2121</v>
      </c>
      <c r="L17" s="5">
        <f t="shared" si="8"/>
        <v>2120</v>
      </c>
      <c r="M17" s="5">
        <f t="shared" si="8"/>
        <v>2119</v>
      </c>
      <c r="N17" s="5">
        <f t="shared" si="8"/>
        <v>2118</v>
      </c>
      <c r="O17" s="5">
        <f t="shared" si="8"/>
        <v>2117</v>
      </c>
      <c r="P17" s="5">
        <f t="shared" si="8"/>
        <v>2116</v>
      </c>
      <c r="Q17" s="5">
        <f t="shared" si="8"/>
        <v>2115</v>
      </c>
      <c r="R17" s="5">
        <f t="shared" si="8"/>
        <v>2114</v>
      </c>
      <c r="S17" s="5">
        <f t="array" ref="S17">D16+1</f>
        <v>2113</v>
      </c>
      <c r="T17" s="4">
        <f t="shared" si="2"/>
        <v>1128</v>
      </c>
      <c r="U17" s="4">
        <f t="shared" si="2"/>
        <v>1127</v>
      </c>
      <c r="V17" s="4">
        <f t="shared" si="2"/>
        <v>1126</v>
      </c>
      <c r="W17" s="4">
        <f t="shared" si="2"/>
        <v>1125</v>
      </c>
      <c r="X17" s="4">
        <f t="shared" si="2"/>
        <v>1124</v>
      </c>
      <c r="Y17" s="4">
        <f t="shared" si="2"/>
        <v>1123</v>
      </c>
      <c r="Z17" s="4">
        <f t="shared" si="2"/>
        <v>1122</v>
      </c>
      <c r="AA17" s="4">
        <f t="shared" si="2"/>
        <v>1121</v>
      </c>
      <c r="AB17" s="4">
        <f t="shared" si="2"/>
        <v>1120</v>
      </c>
      <c r="AC17" s="4">
        <f t="shared" si="2"/>
        <v>1119</v>
      </c>
      <c r="AD17" s="4">
        <f t="shared" si="2"/>
        <v>1118</v>
      </c>
      <c r="AE17" s="4">
        <f t="shared" si="2"/>
        <v>1117</v>
      </c>
      <c r="AF17" s="4">
        <f t="shared" si="2"/>
        <v>1116</v>
      </c>
      <c r="AG17" s="4">
        <f t="shared" si="2"/>
        <v>1115</v>
      </c>
      <c r="AH17" s="4">
        <f t="shared" si="2"/>
        <v>1114</v>
      </c>
      <c r="AI17" s="4">
        <f t="shared" si="3"/>
        <v>1113</v>
      </c>
      <c r="AJ17" s="11" t="s">
        <v>9</v>
      </c>
      <c r="AQ17" s="2"/>
      <c r="AR17" s="3">
        <v>9</v>
      </c>
      <c r="AS17" s="22" t="str" cm="1">
        <f t="array" aca="1" ref="AS17" ca="1">INDIRECT(AS$5&amp;$AR17+8)</f>
        <v>Border</v>
      </c>
      <c r="AT17" s="23" t="str" cm="1">
        <f t="array" aca="1" ref="AT17" ca="1">INDIRECT(AT$5&amp;$AR17+8)</f>
        <v>Border</v>
      </c>
      <c r="AU17" s="8" t="str" cm="1">
        <f t="array" aca="1" ref="AU17" ca="1">INDIRECT(AU$5&amp;$AR17+8)&amp;"-"&amp;1</f>
        <v>2128-1</v>
      </c>
      <c r="AV17" s="9" t="str" cm="1">
        <f t="array" aca="1" ref="AV17" ca="1">INDIRECT(AV$5&amp;$AR17+8)&amp;"-"&amp;2</f>
        <v>2128-2</v>
      </c>
      <c r="AW17" s="8" t="str" cm="1">
        <f t="array" aca="1" ref="AW17" ca="1">INDIRECT(AW$5&amp;$AR17+8)&amp;"-"&amp;1</f>
        <v>2127-1</v>
      </c>
      <c r="AX17" s="9" t="str" cm="1">
        <f t="array" aca="1" ref="AX17" ca="1">INDIRECT(AX$5&amp;$AR17+8)&amp;"-"&amp;2</f>
        <v>2127-2</v>
      </c>
      <c r="AY17" s="8" t="str" cm="1">
        <f t="array" aca="1" ref="AY17" ca="1">INDIRECT(AY$5&amp;$AR17+8)&amp;"-"&amp;1</f>
        <v>2126-1</v>
      </c>
      <c r="AZ17" s="9" t="str" cm="1">
        <f t="array" aca="1" ref="AZ17" ca="1">INDIRECT(AZ$5&amp;$AR17+8)&amp;"-"&amp;2</f>
        <v>2126-2</v>
      </c>
      <c r="BA17" s="8" t="str" cm="1">
        <f t="array" aca="1" ref="BA17" ca="1">INDIRECT(BA$5&amp;$AR17+8)&amp;"-"&amp;1</f>
        <v>2125-1</v>
      </c>
      <c r="BB17" s="9" t="str" cm="1">
        <f t="array" aca="1" ref="BB17" ca="1">INDIRECT(BB$5&amp;$AR17+8)&amp;"-"&amp;2</f>
        <v>2125-2</v>
      </c>
      <c r="BC17" s="8" t="str" cm="1">
        <f t="array" aca="1" ref="BC17" ca="1">INDIRECT(BC$5&amp;$AR17+8)&amp;"-"&amp;1</f>
        <v>2124-1</v>
      </c>
      <c r="BD17" s="9" t="str" cm="1">
        <f t="array" aca="1" ref="BD17" ca="1">INDIRECT(BD$5&amp;$AR17+8)&amp;"-"&amp;2</f>
        <v>2124-2</v>
      </c>
      <c r="BE17" s="8" t="str" cm="1">
        <f t="array" aca="1" ref="BE17" ca="1">INDIRECT(BE$5&amp;$AR17+8)&amp;"-"&amp;1</f>
        <v>2123-1</v>
      </c>
      <c r="BF17" s="9" t="str" cm="1">
        <f t="array" aca="1" ref="BF17" ca="1">INDIRECT(BF$5&amp;$AR17+8)&amp;"-"&amp;2</f>
        <v>2123-2</v>
      </c>
      <c r="BG17" s="8" t="str" cm="1">
        <f t="array" aca="1" ref="BG17" ca="1">INDIRECT(BG$5&amp;$AR17+8)&amp;"-"&amp;1</f>
        <v>2122-1</v>
      </c>
      <c r="BH17" s="9" t="str" cm="1">
        <f t="array" aca="1" ref="BH17" ca="1">INDIRECT(BH$5&amp;$AR17+8)&amp;"-"&amp;2</f>
        <v>2122-2</v>
      </c>
      <c r="BI17" s="8" t="str" cm="1">
        <f t="array" aca="1" ref="BI17" ca="1">INDIRECT(BI$5&amp;$AR17+8)&amp;"-"&amp;1</f>
        <v>2121-1</v>
      </c>
      <c r="BJ17" s="9" t="str" cm="1">
        <f t="array" aca="1" ref="BJ17" ca="1">INDIRECT(BJ$5&amp;$AR17+8)&amp;"-"&amp;2</f>
        <v>2121-2</v>
      </c>
      <c r="BK17" s="8" t="str" cm="1">
        <f t="array" aca="1" ref="BK17" ca="1">INDIRECT(BK$5&amp;$AR17+8)&amp;"-"&amp;1</f>
        <v>2120-1</v>
      </c>
      <c r="BL17" s="9" t="str" cm="1">
        <f t="array" aca="1" ref="BL17" ca="1">INDIRECT(BL$5&amp;$AR17+8)&amp;"-"&amp;2</f>
        <v>2120-2</v>
      </c>
      <c r="BM17" s="8" t="str" cm="1">
        <f t="array" aca="1" ref="BM17" ca="1">INDIRECT(BM$5&amp;$AR17+8)&amp;"-"&amp;1</f>
        <v>2119-1</v>
      </c>
      <c r="BN17" s="9" t="str" cm="1">
        <f t="array" aca="1" ref="BN17" ca="1">INDIRECT(BN$5&amp;$AR17+8)&amp;"-"&amp;2</f>
        <v>2119-2</v>
      </c>
      <c r="BO17" s="8" t="str" cm="1">
        <f t="array" aca="1" ref="BO17" ca="1">INDIRECT(BO$5&amp;$AR17+8)&amp;"-"&amp;1</f>
        <v>2118-1</v>
      </c>
      <c r="BP17" s="9" t="str" cm="1">
        <f t="array" aca="1" ref="BP17" ca="1">INDIRECT(BP$5&amp;$AR17+8)&amp;"-"&amp;2</f>
        <v>2118-2</v>
      </c>
      <c r="BQ17" s="8" t="str" cm="1">
        <f t="array" aca="1" ref="BQ17" ca="1">INDIRECT(BQ$5&amp;$AR17+8)&amp;"-"&amp;1</f>
        <v>2117-1</v>
      </c>
      <c r="BR17" s="9" t="str" cm="1">
        <f t="array" aca="1" ref="BR17" ca="1">INDIRECT(BR$5&amp;$AR17+8)&amp;"-"&amp;2</f>
        <v>2117-2</v>
      </c>
      <c r="BS17" s="8" t="str" cm="1">
        <f t="array" aca="1" ref="BS17" ca="1">INDIRECT(BS$5&amp;$AR17+8)&amp;"-"&amp;1</f>
        <v>2116-1</v>
      </c>
      <c r="BT17" s="9" t="str" cm="1">
        <f t="array" aca="1" ref="BT17" ca="1">INDIRECT(BT$5&amp;$AR17+8)&amp;"-"&amp;2</f>
        <v>2116-2</v>
      </c>
      <c r="BU17" s="8" t="str" cm="1">
        <f t="array" aca="1" ref="BU17" ca="1">INDIRECT(BU$5&amp;$AR17+8)&amp;"-"&amp;1</f>
        <v>2115-1</v>
      </c>
      <c r="BV17" s="9" t="str" cm="1">
        <f t="array" aca="1" ref="BV17" ca="1">INDIRECT(BV$5&amp;$AR17+8)&amp;"-"&amp;2</f>
        <v>2115-2</v>
      </c>
      <c r="BW17" s="8" t="str" cm="1">
        <f t="array" aca="1" ref="BW17" ca="1">INDIRECT(BW$5&amp;$AR17+8)&amp;"-"&amp;1</f>
        <v>2114-1</v>
      </c>
      <c r="BX17" s="9" t="str" cm="1">
        <f t="array" aca="1" ref="BX17" ca="1">INDIRECT(BX$5&amp;$AR17+8)&amp;"-"&amp;2</f>
        <v>2114-2</v>
      </c>
      <c r="BY17" s="8" t="str" cm="1">
        <f t="array" aca="1" ref="BY17" ca="1">INDIRECT(BY$5&amp;$AR17+8)&amp;"-"&amp;1</f>
        <v>2113-1</v>
      </c>
      <c r="BZ17" s="9" t="str" cm="1">
        <f t="array" aca="1" ref="BZ17" ca="1">INDIRECT(BZ$5&amp;$AR17+8)&amp;"-"&amp;2</f>
        <v>2113-2</v>
      </c>
      <c r="CA17" s="6" t="str" cm="1">
        <f t="array" aca="1" ref="CA17" ca="1">INDIRECT(CA$5&amp;$AR17+8)&amp;"-"&amp;1</f>
        <v>1128-1</v>
      </c>
      <c r="CB17" s="7" t="str" cm="1">
        <f t="array" aca="1" ref="CB17" ca="1">INDIRECT(CB$5&amp;$AR17+8)&amp;"-"&amp;2</f>
        <v>1128-2</v>
      </c>
      <c r="CC17" s="6" t="str" cm="1">
        <f t="array" aca="1" ref="CC17" ca="1">INDIRECT(CC$5&amp;$AR17+8)&amp;"-"&amp;1</f>
        <v>1127-1</v>
      </c>
      <c r="CD17" s="7" t="str" cm="1">
        <f t="array" aca="1" ref="CD17" ca="1">INDIRECT(CD$5&amp;$AR17+8)&amp;"-"&amp;2</f>
        <v>1127-2</v>
      </c>
      <c r="CE17" s="6" t="str" cm="1">
        <f t="array" aca="1" ref="CE17" ca="1">INDIRECT(CE$5&amp;$AR17+8)&amp;"-"&amp;1</f>
        <v>1126-1</v>
      </c>
      <c r="CF17" s="7" t="str" cm="1">
        <f t="array" aca="1" ref="CF17" ca="1">INDIRECT(CF$5&amp;$AR17+8)&amp;"-"&amp;2</f>
        <v>1126-2</v>
      </c>
      <c r="CG17" s="6" t="str" cm="1">
        <f t="array" aca="1" ref="CG17" ca="1">INDIRECT(CG$5&amp;$AR17+8)&amp;"-"&amp;1</f>
        <v>1125-1</v>
      </c>
      <c r="CH17" s="7" t="str" cm="1">
        <f t="array" aca="1" ref="CH17" ca="1">INDIRECT(CH$5&amp;$AR17+8)&amp;"-"&amp;2</f>
        <v>1125-2</v>
      </c>
      <c r="CI17" s="6" t="str" cm="1">
        <f t="array" aca="1" ref="CI17" ca="1">INDIRECT(CI$5&amp;$AR17+8)&amp;"-"&amp;1</f>
        <v>1124-1</v>
      </c>
      <c r="CJ17" s="7" t="str" cm="1">
        <f t="array" aca="1" ref="CJ17" ca="1">INDIRECT(CJ$5&amp;$AR17+8)&amp;"-"&amp;2</f>
        <v>1124-2</v>
      </c>
      <c r="CK17" s="6" t="str" cm="1">
        <f t="array" aca="1" ref="CK17" ca="1">INDIRECT(CK$5&amp;$AR17+8)&amp;"-"&amp;1</f>
        <v>1123-1</v>
      </c>
      <c r="CL17" s="7" t="str" cm="1">
        <f t="array" aca="1" ref="CL17" ca="1">INDIRECT(CL$5&amp;$AR17+8)&amp;"-"&amp;2</f>
        <v>1123-2</v>
      </c>
      <c r="CM17" s="6" t="str" cm="1">
        <f t="array" aca="1" ref="CM17" ca="1">INDIRECT(CM$5&amp;$AR17+8)&amp;"-"&amp;1</f>
        <v>1122-1</v>
      </c>
      <c r="CN17" s="7" t="str" cm="1">
        <f t="array" aca="1" ref="CN17" ca="1">INDIRECT(CN$5&amp;$AR17+8)&amp;"-"&amp;2</f>
        <v>1122-2</v>
      </c>
      <c r="CO17" s="6" t="str" cm="1">
        <f t="array" aca="1" ref="CO17" ca="1">INDIRECT(CO$5&amp;$AR17+8)&amp;"-"&amp;1</f>
        <v>1121-1</v>
      </c>
      <c r="CP17" s="7" t="str" cm="1">
        <f t="array" aca="1" ref="CP17" ca="1">INDIRECT(CP$5&amp;$AR17+8)&amp;"-"&amp;2</f>
        <v>1121-2</v>
      </c>
      <c r="CQ17" s="6" t="str" cm="1">
        <f t="array" aca="1" ref="CQ17" ca="1">INDIRECT(CQ$5&amp;$AR17+8)&amp;"-"&amp;1</f>
        <v>1120-1</v>
      </c>
      <c r="CR17" s="7" t="str" cm="1">
        <f t="array" aca="1" ref="CR17" ca="1">INDIRECT(CR$5&amp;$AR17+8)&amp;"-"&amp;2</f>
        <v>1120-2</v>
      </c>
      <c r="CS17" s="6" t="str" cm="1">
        <f t="array" aca="1" ref="CS17" ca="1">INDIRECT(CS$5&amp;$AR17+8)&amp;"-"&amp;1</f>
        <v>1119-1</v>
      </c>
      <c r="CT17" s="7" t="str" cm="1">
        <f t="array" aca="1" ref="CT17" ca="1">INDIRECT(CT$5&amp;$AR17+8)&amp;"-"&amp;2</f>
        <v>1119-2</v>
      </c>
      <c r="CU17" s="6" t="str" cm="1">
        <f t="array" aca="1" ref="CU17" ca="1">INDIRECT(CU$5&amp;$AR17+8)&amp;"-"&amp;1</f>
        <v>1118-1</v>
      </c>
      <c r="CV17" s="7" t="str" cm="1">
        <f t="array" aca="1" ref="CV17" ca="1">INDIRECT(CV$5&amp;$AR17+8)&amp;"-"&amp;2</f>
        <v>1118-2</v>
      </c>
      <c r="CW17" s="6" t="str" cm="1">
        <f t="array" aca="1" ref="CW17" ca="1">INDIRECT(CW$5&amp;$AR17+8)&amp;"-"&amp;1</f>
        <v>1117-1</v>
      </c>
      <c r="CX17" s="7" t="str" cm="1">
        <f t="array" aca="1" ref="CX17" ca="1">INDIRECT(CX$5&amp;$AR17+8)&amp;"-"&amp;2</f>
        <v>1117-2</v>
      </c>
      <c r="CY17" s="6" t="str" cm="1">
        <f t="array" aca="1" ref="CY17" ca="1">INDIRECT(CY$5&amp;$AR17+8)&amp;"-"&amp;1</f>
        <v>1116-1</v>
      </c>
      <c r="CZ17" s="7" t="str" cm="1">
        <f t="array" aca="1" ref="CZ17" ca="1">INDIRECT(CZ$5&amp;$AR17+8)&amp;"-"&amp;2</f>
        <v>1116-2</v>
      </c>
      <c r="DA17" s="6" t="str" cm="1">
        <f t="array" aca="1" ref="DA17" ca="1">INDIRECT(DA$5&amp;$AR17+8)&amp;"-"&amp;1</f>
        <v>1115-1</v>
      </c>
      <c r="DB17" s="7" t="str" cm="1">
        <f t="array" aca="1" ref="DB17" ca="1">INDIRECT(DB$5&amp;$AR17+8)&amp;"-"&amp;2</f>
        <v>1115-2</v>
      </c>
      <c r="DC17" s="6" t="str" cm="1">
        <f t="array" aca="1" ref="DC17" ca="1">INDIRECT(DC$5&amp;$AR17+8)&amp;"-"&amp;1</f>
        <v>1114-1</v>
      </c>
      <c r="DD17" s="7" t="str" cm="1">
        <f t="array" aca="1" ref="DD17" ca="1">INDIRECT(DD$5&amp;$AR17+8)&amp;"-"&amp;2</f>
        <v>1114-2</v>
      </c>
      <c r="DE17" s="6" t="str" cm="1">
        <f t="array" aca="1" ref="DE17" ca="1">INDIRECT(DE$5&amp;$AR17+8)&amp;"-"&amp;1</f>
        <v>1113-1</v>
      </c>
      <c r="DF17" s="7" t="str" cm="1">
        <f t="array" aca="1" ref="DF17" ca="1">INDIRECT(DF$5&amp;$AR17+8)&amp;"-"&amp;2</f>
        <v>1113-2</v>
      </c>
      <c r="DG17" s="25" t="str" cm="1">
        <f t="array" aca="1" ref="DG17" ca="1">INDIRECT(DG$5&amp;$AR17+8)</f>
        <v>Border</v>
      </c>
      <c r="DH17" s="25" t="str" cm="1">
        <f t="array" aca="1" ref="DH17" ca="1">INDIRECT(DH$5&amp;$AR17+8)</f>
        <v>Border</v>
      </c>
    </row>
    <row r="18" spans="1:112" ht="40.049999999999997" customHeight="1" x14ac:dyDescent="0.45">
      <c r="A18" s="2"/>
      <c r="B18" s="3">
        <v>10</v>
      </c>
      <c r="C18" s="11" t="s">
        <v>9</v>
      </c>
      <c r="D18" s="5">
        <f t="shared" ref="D18:R18" si="9">E18+1</f>
        <v>2144</v>
      </c>
      <c r="E18" s="5">
        <f t="shared" si="9"/>
        <v>2143</v>
      </c>
      <c r="F18" s="5">
        <f t="shared" si="9"/>
        <v>2142</v>
      </c>
      <c r="G18" s="5">
        <f t="shared" si="9"/>
        <v>2141</v>
      </c>
      <c r="H18" s="5">
        <f t="shared" si="9"/>
        <v>2140</v>
      </c>
      <c r="I18" s="5">
        <f t="shared" si="9"/>
        <v>2139</v>
      </c>
      <c r="J18" s="5">
        <f t="shared" si="9"/>
        <v>2138</v>
      </c>
      <c r="K18" s="5">
        <f t="shared" si="9"/>
        <v>2137</v>
      </c>
      <c r="L18" s="5">
        <f t="shared" si="9"/>
        <v>2136</v>
      </c>
      <c r="M18" s="5">
        <f t="shared" si="9"/>
        <v>2135</v>
      </c>
      <c r="N18" s="5">
        <f t="shared" si="9"/>
        <v>2134</v>
      </c>
      <c r="O18" s="5">
        <f t="shared" si="9"/>
        <v>2133</v>
      </c>
      <c r="P18" s="5">
        <f t="shared" si="9"/>
        <v>2132</v>
      </c>
      <c r="Q18" s="5">
        <f t="shared" si="9"/>
        <v>2131</v>
      </c>
      <c r="R18" s="5">
        <f t="shared" si="9"/>
        <v>2130</v>
      </c>
      <c r="S18" s="5">
        <f t="array" ref="S18">D17+1</f>
        <v>2129</v>
      </c>
      <c r="T18" s="4">
        <f t="shared" si="2"/>
        <v>1144</v>
      </c>
      <c r="U18" s="4">
        <f t="shared" si="2"/>
        <v>1143</v>
      </c>
      <c r="V18" s="4">
        <f t="shared" si="2"/>
        <v>1142</v>
      </c>
      <c r="W18" s="4">
        <f t="shared" si="2"/>
        <v>1141</v>
      </c>
      <c r="X18" s="4">
        <f t="shared" si="2"/>
        <v>1140</v>
      </c>
      <c r="Y18" s="4">
        <f t="shared" si="2"/>
        <v>1139</v>
      </c>
      <c r="Z18" s="4">
        <f t="shared" si="2"/>
        <v>1138</v>
      </c>
      <c r="AA18" s="4">
        <f t="shared" si="2"/>
        <v>1137</v>
      </c>
      <c r="AB18" s="4">
        <f t="shared" si="2"/>
        <v>1136</v>
      </c>
      <c r="AC18" s="4">
        <f t="shared" si="2"/>
        <v>1135</v>
      </c>
      <c r="AD18" s="4">
        <f t="shared" si="2"/>
        <v>1134</v>
      </c>
      <c r="AE18" s="4">
        <f t="shared" si="2"/>
        <v>1133</v>
      </c>
      <c r="AF18" s="4">
        <f t="shared" si="2"/>
        <v>1132</v>
      </c>
      <c r="AG18" s="4">
        <f t="shared" si="2"/>
        <v>1131</v>
      </c>
      <c r="AH18" s="4">
        <f t="shared" si="2"/>
        <v>1130</v>
      </c>
      <c r="AI18" s="4">
        <f t="shared" si="3"/>
        <v>1129</v>
      </c>
      <c r="AJ18" s="11" t="s">
        <v>9</v>
      </c>
      <c r="AQ18" s="2"/>
      <c r="AR18" s="3">
        <v>10</v>
      </c>
      <c r="AS18" s="22" t="str" cm="1">
        <f t="array" aca="1" ref="AS18" ca="1">INDIRECT(AS$5&amp;$AR18+8)</f>
        <v>Border</v>
      </c>
      <c r="AT18" s="23" t="str" cm="1">
        <f t="array" aca="1" ref="AT18" ca="1">INDIRECT(AT$5&amp;$AR18+8)</f>
        <v>Border</v>
      </c>
      <c r="AU18" s="8" t="str" cm="1">
        <f t="array" aca="1" ref="AU18" ca="1">INDIRECT(AU$5&amp;$AR18+8)&amp;"-"&amp;1</f>
        <v>2144-1</v>
      </c>
      <c r="AV18" s="9" t="str" cm="1">
        <f t="array" aca="1" ref="AV18" ca="1">INDIRECT(AV$5&amp;$AR18+8)&amp;"-"&amp;2</f>
        <v>2144-2</v>
      </c>
      <c r="AW18" s="8" t="str" cm="1">
        <f t="array" aca="1" ref="AW18" ca="1">INDIRECT(AW$5&amp;$AR18+8)&amp;"-"&amp;1</f>
        <v>2143-1</v>
      </c>
      <c r="AX18" s="9" t="str" cm="1">
        <f t="array" aca="1" ref="AX18" ca="1">INDIRECT(AX$5&amp;$AR18+8)&amp;"-"&amp;2</f>
        <v>2143-2</v>
      </c>
      <c r="AY18" s="8" t="str" cm="1">
        <f t="array" aca="1" ref="AY18" ca="1">INDIRECT(AY$5&amp;$AR18+8)&amp;"-"&amp;1</f>
        <v>2142-1</v>
      </c>
      <c r="AZ18" s="9" t="str" cm="1">
        <f t="array" aca="1" ref="AZ18" ca="1">INDIRECT(AZ$5&amp;$AR18+8)&amp;"-"&amp;2</f>
        <v>2142-2</v>
      </c>
      <c r="BA18" s="8" t="str" cm="1">
        <f t="array" aca="1" ref="BA18" ca="1">INDIRECT(BA$5&amp;$AR18+8)&amp;"-"&amp;1</f>
        <v>2141-1</v>
      </c>
      <c r="BB18" s="9" t="str" cm="1">
        <f t="array" aca="1" ref="BB18" ca="1">INDIRECT(BB$5&amp;$AR18+8)&amp;"-"&amp;2</f>
        <v>2141-2</v>
      </c>
      <c r="BC18" s="8" t="str" cm="1">
        <f t="array" aca="1" ref="BC18" ca="1">INDIRECT(BC$5&amp;$AR18+8)&amp;"-"&amp;1</f>
        <v>2140-1</v>
      </c>
      <c r="BD18" s="9" t="str" cm="1">
        <f t="array" aca="1" ref="BD18" ca="1">INDIRECT(BD$5&amp;$AR18+8)&amp;"-"&amp;2</f>
        <v>2140-2</v>
      </c>
      <c r="BE18" s="8" t="str" cm="1">
        <f t="array" aca="1" ref="BE18" ca="1">INDIRECT(BE$5&amp;$AR18+8)&amp;"-"&amp;1</f>
        <v>2139-1</v>
      </c>
      <c r="BF18" s="9" t="str" cm="1">
        <f t="array" aca="1" ref="BF18" ca="1">INDIRECT(BF$5&amp;$AR18+8)&amp;"-"&amp;2</f>
        <v>2139-2</v>
      </c>
      <c r="BG18" s="8" t="str" cm="1">
        <f t="array" aca="1" ref="BG18" ca="1">INDIRECT(BG$5&amp;$AR18+8)&amp;"-"&amp;1</f>
        <v>2138-1</v>
      </c>
      <c r="BH18" s="9" t="str" cm="1">
        <f t="array" aca="1" ref="BH18" ca="1">INDIRECT(BH$5&amp;$AR18+8)&amp;"-"&amp;2</f>
        <v>2138-2</v>
      </c>
      <c r="BI18" s="8" t="str" cm="1">
        <f t="array" aca="1" ref="BI18" ca="1">INDIRECT(BI$5&amp;$AR18+8)&amp;"-"&amp;1</f>
        <v>2137-1</v>
      </c>
      <c r="BJ18" s="9" t="str" cm="1">
        <f t="array" aca="1" ref="BJ18" ca="1">INDIRECT(BJ$5&amp;$AR18+8)&amp;"-"&amp;2</f>
        <v>2137-2</v>
      </c>
      <c r="BK18" s="8" t="str" cm="1">
        <f t="array" aca="1" ref="BK18" ca="1">INDIRECT(BK$5&amp;$AR18+8)&amp;"-"&amp;1</f>
        <v>2136-1</v>
      </c>
      <c r="BL18" s="9" t="str" cm="1">
        <f t="array" aca="1" ref="BL18" ca="1">INDIRECT(BL$5&amp;$AR18+8)&amp;"-"&amp;2</f>
        <v>2136-2</v>
      </c>
      <c r="BM18" s="8" t="str" cm="1">
        <f t="array" aca="1" ref="BM18" ca="1">INDIRECT(BM$5&amp;$AR18+8)&amp;"-"&amp;1</f>
        <v>2135-1</v>
      </c>
      <c r="BN18" s="9" t="str" cm="1">
        <f t="array" aca="1" ref="BN18" ca="1">INDIRECT(BN$5&amp;$AR18+8)&amp;"-"&amp;2</f>
        <v>2135-2</v>
      </c>
      <c r="BO18" s="8" t="str" cm="1">
        <f t="array" aca="1" ref="BO18" ca="1">INDIRECT(BO$5&amp;$AR18+8)&amp;"-"&amp;1</f>
        <v>2134-1</v>
      </c>
      <c r="BP18" s="9" t="str" cm="1">
        <f t="array" aca="1" ref="BP18" ca="1">INDIRECT(BP$5&amp;$AR18+8)&amp;"-"&amp;2</f>
        <v>2134-2</v>
      </c>
      <c r="BQ18" s="8" t="str" cm="1">
        <f t="array" aca="1" ref="BQ18" ca="1">INDIRECT(BQ$5&amp;$AR18+8)&amp;"-"&amp;1</f>
        <v>2133-1</v>
      </c>
      <c r="BR18" s="9" t="str" cm="1">
        <f t="array" aca="1" ref="BR18" ca="1">INDIRECT(BR$5&amp;$AR18+8)&amp;"-"&amp;2</f>
        <v>2133-2</v>
      </c>
      <c r="BS18" s="8" t="str" cm="1">
        <f t="array" aca="1" ref="BS18" ca="1">INDIRECT(BS$5&amp;$AR18+8)&amp;"-"&amp;1</f>
        <v>2132-1</v>
      </c>
      <c r="BT18" s="9" t="str" cm="1">
        <f t="array" aca="1" ref="BT18" ca="1">INDIRECT(BT$5&amp;$AR18+8)&amp;"-"&amp;2</f>
        <v>2132-2</v>
      </c>
      <c r="BU18" s="8" t="str" cm="1">
        <f t="array" aca="1" ref="BU18" ca="1">INDIRECT(BU$5&amp;$AR18+8)&amp;"-"&amp;1</f>
        <v>2131-1</v>
      </c>
      <c r="BV18" s="9" t="str" cm="1">
        <f t="array" aca="1" ref="BV18" ca="1">INDIRECT(BV$5&amp;$AR18+8)&amp;"-"&amp;2</f>
        <v>2131-2</v>
      </c>
      <c r="BW18" s="8" t="str" cm="1">
        <f t="array" aca="1" ref="BW18" ca="1">INDIRECT(BW$5&amp;$AR18+8)&amp;"-"&amp;1</f>
        <v>2130-1</v>
      </c>
      <c r="BX18" s="9" t="str" cm="1">
        <f t="array" aca="1" ref="BX18" ca="1">INDIRECT(BX$5&amp;$AR18+8)&amp;"-"&amp;2</f>
        <v>2130-2</v>
      </c>
      <c r="BY18" s="8" t="str" cm="1">
        <f t="array" aca="1" ref="BY18" ca="1">INDIRECT(BY$5&amp;$AR18+8)&amp;"-"&amp;1</f>
        <v>2129-1</v>
      </c>
      <c r="BZ18" s="9" t="str" cm="1">
        <f t="array" aca="1" ref="BZ18" ca="1">INDIRECT(BZ$5&amp;$AR18+8)&amp;"-"&amp;2</f>
        <v>2129-2</v>
      </c>
      <c r="CA18" s="6" t="str" cm="1">
        <f t="array" aca="1" ref="CA18" ca="1">INDIRECT(CA$5&amp;$AR18+8)&amp;"-"&amp;1</f>
        <v>1144-1</v>
      </c>
      <c r="CB18" s="7" t="str" cm="1">
        <f t="array" aca="1" ref="CB18" ca="1">INDIRECT(CB$5&amp;$AR18+8)&amp;"-"&amp;2</f>
        <v>1144-2</v>
      </c>
      <c r="CC18" s="6" t="str" cm="1">
        <f t="array" aca="1" ref="CC18" ca="1">INDIRECT(CC$5&amp;$AR18+8)&amp;"-"&amp;1</f>
        <v>1143-1</v>
      </c>
      <c r="CD18" s="7" t="str" cm="1">
        <f t="array" aca="1" ref="CD18" ca="1">INDIRECT(CD$5&amp;$AR18+8)&amp;"-"&amp;2</f>
        <v>1143-2</v>
      </c>
      <c r="CE18" s="6" t="str" cm="1">
        <f t="array" aca="1" ref="CE18" ca="1">INDIRECT(CE$5&amp;$AR18+8)&amp;"-"&amp;1</f>
        <v>1142-1</v>
      </c>
      <c r="CF18" s="7" t="str" cm="1">
        <f t="array" aca="1" ref="CF18" ca="1">INDIRECT(CF$5&amp;$AR18+8)&amp;"-"&amp;2</f>
        <v>1142-2</v>
      </c>
      <c r="CG18" s="6" t="str" cm="1">
        <f t="array" aca="1" ref="CG18" ca="1">INDIRECT(CG$5&amp;$AR18+8)&amp;"-"&amp;1</f>
        <v>1141-1</v>
      </c>
      <c r="CH18" s="7" t="str" cm="1">
        <f t="array" aca="1" ref="CH18" ca="1">INDIRECT(CH$5&amp;$AR18+8)&amp;"-"&amp;2</f>
        <v>1141-2</v>
      </c>
      <c r="CI18" s="6" t="str" cm="1">
        <f t="array" aca="1" ref="CI18" ca="1">INDIRECT(CI$5&amp;$AR18+8)&amp;"-"&amp;1</f>
        <v>1140-1</v>
      </c>
      <c r="CJ18" s="7" t="str" cm="1">
        <f t="array" aca="1" ref="CJ18" ca="1">INDIRECT(CJ$5&amp;$AR18+8)&amp;"-"&amp;2</f>
        <v>1140-2</v>
      </c>
      <c r="CK18" s="6" t="str" cm="1">
        <f t="array" aca="1" ref="CK18" ca="1">INDIRECT(CK$5&amp;$AR18+8)&amp;"-"&amp;1</f>
        <v>1139-1</v>
      </c>
      <c r="CL18" s="7" t="str" cm="1">
        <f t="array" aca="1" ref="CL18" ca="1">INDIRECT(CL$5&amp;$AR18+8)&amp;"-"&amp;2</f>
        <v>1139-2</v>
      </c>
      <c r="CM18" s="6" t="str" cm="1">
        <f t="array" aca="1" ref="CM18" ca="1">INDIRECT(CM$5&amp;$AR18+8)&amp;"-"&amp;1</f>
        <v>1138-1</v>
      </c>
      <c r="CN18" s="7" t="str" cm="1">
        <f t="array" aca="1" ref="CN18" ca="1">INDIRECT(CN$5&amp;$AR18+8)&amp;"-"&amp;2</f>
        <v>1138-2</v>
      </c>
      <c r="CO18" s="6" t="str" cm="1">
        <f t="array" aca="1" ref="CO18" ca="1">INDIRECT(CO$5&amp;$AR18+8)&amp;"-"&amp;1</f>
        <v>1137-1</v>
      </c>
      <c r="CP18" s="7" t="str" cm="1">
        <f t="array" aca="1" ref="CP18" ca="1">INDIRECT(CP$5&amp;$AR18+8)&amp;"-"&amp;2</f>
        <v>1137-2</v>
      </c>
      <c r="CQ18" s="6" t="str" cm="1">
        <f t="array" aca="1" ref="CQ18" ca="1">INDIRECT(CQ$5&amp;$AR18+8)&amp;"-"&amp;1</f>
        <v>1136-1</v>
      </c>
      <c r="CR18" s="7" t="str" cm="1">
        <f t="array" aca="1" ref="CR18" ca="1">INDIRECT(CR$5&amp;$AR18+8)&amp;"-"&amp;2</f>
        <v>1136-2</v>
      </c>
      <c r="CS18" s="6" t="str" cm="1">
        <f t="array" aca="1" ref="CS18" ca="1">INDIRECT(CS$5&amp;$AR18+8)&amp;"-"&amp;1</f>
        <v>1135-1</v>
      </c>
      <c r="CT18" s="7" t="str" cm="1">
        <f t="array" aca="1" ref="CT18" ca="1">INDIRECT(CT$5&amp;$AR18+8)&amp;"-"&amp;2</f>
        <v>1135-2</v>
      </c>
      <c r="CU18" s="6" t="str" cm="1">
        <f t="array" aca="1" ref="CU18" ca="1">INDIRECT(CU$5&amp;$AR18+8)&amp;"-"&amp;1</f>
        <v>1134-1</v>
      </c>
      <c r="CV18" s="7" t="str" cm="1">
        <f t="array" aca="1" ref="CV18" ca="1">INDIRECT(CV$5&amp;$AR18+8)&amp;"-"&amp;2</f>
        <v>1134-2</v>
      </c>
      <c r="CW18" s="6" t="str" cm="1">
        <f t="array" aca="1" ref="CW18" ca="1">INDIRECT(CW$5&amp;$AR18+8)&amp;"-"&amp;1</f>
        <v>1133-1</v>
      </c>
      <c r="CX18" s="7" t="str" cm="1">
        <f t="array" aca="1" ref="CX18" ca="1">INDIRECT(CX$5&amp;$AR18+8)&amp;"-"&amp;2</f>
        <v>1133-2</v>
      </c>
      <c r="CY18" s="6" t="str" cm="1">
        <f t="array" aca="1" ref="CY18" ca="1">INDIRECT(CY$5&amp;$AR18+8)&amp;"-"&amp;1</f>
        <v>1132-1</v>
      </c>
      <c r="CZ18" s="7" t="str" cm="1">
        <f t="array" aca="1" ref="CZ18" ca="1">INDIRECT(CZ$5&amp;$AR18+8)&amp;"-"&amp;2</f>
        <v>1132-2</v>
      </c>
      <c r="DA18" s="6" t="str" cm="1">
        <f t="array" aca="1" ref="DA18" ca="1">INDIRECT(DA$5&amp;$AR18+8)&amp;"-"&amp;1</f>
        <v>1131-1</v>
      </c>
      <c r="DB18" s="7" t="str" cm="1">
        <f t="array" aca="1" ref="DB18" ca="1">INDIRECT(DB$5&amp;$AR18+8)&amp;"-"&amp;2</f>
        <v>1131-2</v>
      </c>
      <c r="DC18" s="6" t="str" cm="1">
        <f t="array" aca="1" ref="DC18" ca="1">INDIRECT(DC$5&amp;$AR18+8)&amp;"-"&amp;1</f>
        <v>1130-1</v>
      </c>
      <c r="DD18" s="7" t="str" cm="1">
        <f t="array" aca="1" ref="DD18" ca="1">INDIRECT(DD$5&amp;$AR18+8)&amp;"-"&amp;2</f>
        <v>1130-2</v>
      </c>
      <c r="DE18" s="6" t="str" cm="1">
        <f t="array" aca="1" ref="DE18" ca="1">INDIRECT(DE$5&amp;$AR18+8)&amp;"-"&amp;1</f>
        <v>1129-1</v>
      </c>
      <c r="DF18" s="7" t="str" cm="1">
        <f t="array" aca="1" ref="DF18" ca="1">INDIRECT(DF$5&amp;$AR18+8)&amp;"-"&amp;2</f>
        <v>1129-2</v>
      </c>
      <c r="DG18" s="25" t="str" cm="1">
        <f t="array" aca="1" ref="DG18" ca="1">INDIRECT(DG$5&amp;$AR18+8)</f>
        <v>Border</v>
      </c>
      <c r="DH18" s="25" t="str" cm="1">
        <f t="array" aca="1" ref="DH18" ca="1">INDIRECT(DH$5&amp;$AR18+8)</f>
        <v>Border</v>
      </c>
    </row>
    <row r="19" spans="1:112" ht="40.049999999999997" customHeight="1" x14ac:dyDescent="0.45">
      <c r="A19" s="2"/>
      <c r="B19" s="3">
        <v>11</v>
      </c>
      <c r="C19" s="11" t="s">
        <v>9</v>
      </c>
      <c r="D19" s="5">
        <f t="shared" ref="D19:R19" si="10">E19+1</f>
        <v>2160</v>
      </c>
      <c r="E19" s="5">
        <f t="shared" si="10"/>
        <v>2159</v>
      </c>
      <c r="F19" s="5">
        <f t="shared" si="10"/>
        <v>2158</v>
      </c>
      <c r="G19" s="5">
        <f t="shared" si="10"/>
        <v>2157</v>
      </c>
      <c r="H19" s="5">
        <f t="shared" si="10"/>
        <v>2156</v>
      </c>
      <c r="I19" s="5">
        <f t="shared" si="10"/>
        <v>2155</v>
      </c>
      <c r="J19" s="5">
        <f t="shared" si="10"/>
        <v>2154</v>
      </c>
      <c r="K19" s="5">
        <f t="shared" si="10"/>
        <v>2153</v>
      </c>
      <c r="L19" s="5">
        <f t="shared" si="10"/>
        <v>2152</v>
      </c>
      <c r="M19" s="5">
        <f t="shared" si="10"/>
        <v>2151</v>
      </c>
      <c r="N19" s="5">
        <f t="shared" si="10"/>
        <v>2150</v>
      </c>
      <c r="O19" s="5">
        <f t="shared" si="10"/>
        <v>2149</v>
      </c>
      <c r="P19" s="5">
        <f t="shared" si="10"/>
        <v>2148</v>
      </c>
      <c r="Q19" s="5">
        <f t="shared" si="10"/>
        <v>2147</v>
      </c>
      <c r="R19" s="5">
        <f t="shared" si="10"/>
        <v>2146</v>
      </c>
      <c r="S19" s="5">
        <f t="array" ref="S19">D18+1</f>
        <v>2145</v>
      </c>
      <c r="T19" s="4">
        <f t="shared" si="2"/>
        <v>1160</v>
      </c>
      <c r="U19" s="4">
        <f t="shared" si="2"/>
        <v>1159</v>
      </c>
      <c r="V19" s="4">
        <f t="shared" si="2"/>
        <v>1158</v>
      </c>
      <c r="W19" s="4">
        <f t="shared" si="2"/>
        <v>1157</v>
      </c>
      <c r="X19" s="4">
        <f t="shared" si="2"/>
        <v>1156</v>
      </c>
      <c r="Y19" s="4">
        <f t="shared" si="2"/>
        <v>1155</v>
      </c>
      <c r="Z19" s="4">
        <f t="shared" si="2"/>
        <v>1154</v>
      </c>
      <c r="AA19" s="4">
        <f t="shared" si="2"/>
        <v>1153</v>
      </c>
      <c r="AB19" s="4">
        <f t="shared" si="2"/>
        <v>1152</v>
      </c>
      <c r="AC19" s="4">
        <f t="shared" si="2"/>
        <v>1151</v>
      </c>
      <c r="AD19" s="4">
        <f t="shared" si="2"/>
        <v>1150</v>
      </c>
      <c r="AE19" s="4">
        <f t="shared" si="2"/>
        <v>1149</v>
      </c>
      <c r="AF19" s="4">
        <f t="shared" si="2"/>
        <v>1148</v>
      </c>
      <c r="AG19" s="4">
        <f t="shared" si="2"/>
        <v>1147</v>
      </c>
      <c r="AH19" s="4">
        <f t="shared" si="2"/>
        <v>1146</v>
      </c>
      <c r="AI19" s="4">
        <f t="shared" si="3"/>
        <v>1145</v>
      </c>
      <c r="AJ19" s="11" t="s">
        <v>9</v>
      </c>
      <c r="AQ19" s="2"/>
      <c r="AR19" s="3">
        <v>11</v>
      </c>
      <c r="AS19" s="22" t="str" cm="1">
        <f t="array" aca="1" ref="AS19" ca="1">INDIRECT(AS$5&amp;$AR19+8)</f>
        <v>Border</v>
      </c>
      <c r="AT19" s="23" t="str" cm="1">
        <f t="array" aca="1" ref="AT19" ca="1">INDIRECT(AT$5&amp;$AR19+8)</f>
        <v>Border</v>
      </c>
      <c r="AU19" s="8" t="str" cm="1">
        <f t="array" aca="1" ref="AU19" ca="1">INDIRECT(AU$5&amp;$AR19+8)&amp;"-"&amp;1</f>
        <v>2160-1</v>
      </c>
      <c r="AV19" s="9" t="str" cm="1">
        <f t="array" aca="1" ref="AV19" ca="1">INDIRECT(AV$5&amp;$AR19+8)&amp;"-"&amp;2</f>
        <v>2160-2</v>
      </c>
      <c r="AW19" s="8" t="str" cm="1">
        <f t="array" aca="1" ref="AW19" ca="1">INDIRECT(AW$5&amp;$AR19+8)&amp;"-"&amp;1</f>
        <v>2159-1</v>
      </c>
      <c r="AX19" s="9" t="str" cm="1">
        <f t="array" aca="1" ref="AX19" ca="1">INDIRECT(AX$5&amp;$AR19+8)&amp;"-"&amp;2</f>
        <v>2159-2</v>
      </c>
      <c r="AY19" s="8" t="str" cm="1">
        <f t="array" aca="1" ref="AY19" ca="1">INDIRECT(AY$5&amp;$AR19+8)&amp;"-"&amp;1</f>
        <v>2158-1</v>
      </c>
      <c r="AZ19" s="9" t="str" cm="1">
        <f t="array" aca="1" ref="AZ19" ca="1">INDIRECT(AZ$5&amp;$AR19+8)&amp;"-"&amp;2</f>
        <v>2158-2</v>
      </c>
      <c r="BA19" s="8" t="str" cm="1">
        <f t="array" aca="1" ref="BA19" ca="1">INDIRECT(BA$5&amp;$AR19+8)&amp;"-"&amp;1</f>
        <v>2157-1</v>
      </c>
      <c r="BB19" s="9" t="str" cm="1">
        <f t="array" aca="1" ref="BB19" ca="1">INDIRECT(BB$5&amp;$AR19+8)&amp;"-"&amp;2</f>
        <v>2157-2</v>
      </c>
      <c r="BC19" s="8" t="str" cm="1">
        <f t="array" aca="1" ref="BC19" ca="1">INDIRECT(BC$5&amp;$AR19+8)&amp;"-"&amp;1</f>
        <v>2156-1</v>
      </c>
      <c r="BD19" s="9" t="str" cm="1">
        <f t="array" aca="1" ref="BD19" ca="1">INDIRECT(BD$5&amp;$AR19+8)&amp;"-"&amp;2</f>
        <v>2156-2</v>
      </c>
      <c r="BE19" s="8" t="str" cm="1">
        <f t="array" aca="1" ref="BE19" ca="1">INDIRECT(BE$5&amp;$AR19+8)&amp;"-"&amp;1</f>
        <v>2155-1</v>
      </c>
      <c r="BF19" s="9" t="str" cm="1">
        <f t="array" aca="1" ref="BF19" ca="1">INDIRECT(BF$5&amp;$AR19+8)&amp;"-"&amp;2</f>
        <v>2155-2</v>
      </c>
      <c r="BG19" s="8" t="str" cm="1">
        <f t="array" aca="1" ref="BG19" ca="1">INDIRECT(BG$5&amp;$AR19+8)&amp;"-"&amp;1</f>
        <v>2154-1</v>
      </c>
      <c r="BH19" s="9" t="str" cm="1">
        <f t="array" aca="1" ref="BH19" ca="1">INDIRECT(BH$5&amp;$AR19+8)&amp;"-"&amp;2</f>
        <v>2154-2</v>
      </c>
      <c r="BI19" s="8" t="str" cm="1">
        <f t="array" aca="1" ref="BI19" ca="1">INDIRECT(BI$5&amp;$AR19+8)&amp;"-"&amp;1</f>
        <v>2153-1</v>
      </c>
      <c r="BJ19" s="9" t="str" cm="1">
        <f t="array" aca="1" ref="BJ19" ca="1">INDIRECT(BJ$5&amp;$AR19+8)&amp;"-"&amp;2</f>
        <v>2153-2</v>
      </c>
      <c r="BK19" s="8" t="str" cm="1">
        <f t="array" aca="1" ref="BK19" ca="1">INDIRECT(BK$5&amp;$AR19+8)&amp;"-"&amp;1</f>
        <v>2152-1</v>
      </c>
      <c r="BL19" s="9" t="str" cm="1">
        <f t="array" aca="1" ref="BL19" ca="1">INDIRECT(BL$5&amp;$AR19+8)&amp;"-"&amp;2</f>
        <v>2152-2</v>
      </c>
      <c r="BM19" s="8" t="str" cm="1">
        <f t="array" aca="1" ref="BM19" ca="1">INDIRECT(BM$5&amp;$AR19+8)&amp;"-"&amp;1</f>
        <v>2151-1</v>
      </c>
      <c r="BN19" s="9" t="str" cm="1">
        <f t="array" aca="1" ref="BN19" ca="1">INDIRECT(BN$5&amp;$AR19+8)&amp;"-"&amp;2</f>
        <v>2151-2</v>
      </c>
      <c r="BO19" s="8" t="str" cm="1">
        <f t="array" aca="1" ref="BO19" ca="1">INDIRECT(BO$5&amp;$AR19+8)&amp;"-"&amp;1</f>
        <v>2150-1</v>
      </c>
      <c r="BP19" s="9" t="str" cm="1">
        <f t="array" aca="1" ref="BP19" ca="1">INDIRECT(BP$5&amp;$AR19+8)&amp;"-"&amp;2</f>
        <v>2150-2</v>
      </c>
      <c r="BQ19" s="8" t="str" cm="1">
        <f t="array" aca="1" ref="BQ19" ca="1">INDIRECT(BQ$5&amp;$AR19+8)&amp;"-"&amp;1</f>
        <v>2149-1</v>
      </c>
      <c r="BR19" s="9" t="str" cm="1">
        <f t="array" aca="1" ref="BR19" ca="1">INDIRECT(BR$5&amp;$AR19+8)&amp;"-"&amp;2</f>
        <v>2149-2</v>
      </c>
      <c r="BS19" s="8" t="str" cm="1">
        <f t="array" aca="1" ref="BS19" ca="1">INDIRECT(BS$5&amp;$AR19+8)&amp;"-"&amp;1</f>
        <v>2148-1</v>
      </c>
      <c r="BT19" s="9" t="str" cm="1">
        <f t="array" aca="1" ref="BT19" ca="1">INDIRECT(BT$5&amp;$AR19+8)&amp;"-"&amp;2</f>
        <v>2148-2</v>
      </c>
      <c r="BU19" s="8" t="str" cm="1">
        <f t="array" aca="1" ref="BU19" ca="1">INDIRECT(BU$5&amp;$AR19+8)&amp;"-"&amp;1</f>
        <v>2147-1</v>
      </c>
      <c r="BV19" s="9" t="str" cm="1">
        <f t="array" aca="1" ref="BV19" ca="1">INDIRECT(BV$5&amp;$AR19+8)&amp;"-"&amp;2</f>
        <v>2147-2</v>
      </c>
      <c r="BW19" s="8" t="str" cm="1">
        <f t="array" aca="1" ref="BW19" ca="1">INDIRECT(BW$5&amp;$AR19+8)&amp;"-"&amp;1</f>
        <v>2146-1</v>
      </c>
      <c r="BX19" s="9" t="str" cm="1">
        <f t="array" aca="1" ref="BX19" ca="1">INDIRECT(BX$5&amp;$AR19+8)&amp;"-"&amp;2</f>
        <v>2146-2</v>
      </c>
      <c r="BY19" s="8" t="str" cm="1">
        <f t="array" aca="1" ref="BY19" ca="1">INDIRECT(BY$5&amp;$AR19+8)&amp;"-"&amp;1</f>
        <v>2145-1</v>
      </c>
      <c r="BZ19" s="9" t="str" cm="1">
        <f t="array" aca="1" ref="BZ19" ca="1">INDIRECT(BZ$5&amp;$AR19+8)&amp;"-"&amp;2</f>
        <v>2145-2</v>
      </c>
      <c r="CA19" s="6" t="str" cm="1">
        <f t="array" aca="1" ref="CA19" ca="1">INDIRECT(CA$5&amp;$AR19+8)&amp;"-"&amp;1</f>
        <v>1160-1</v>
      </c>
      <c r="CB19" s="7" t="str" cm="1">
        <f t="array" aca="1" ref="CB19" ca="1">INDIRECT(CB$5&amp;$AR19+8)&amp;"-"&amp;2</f>
        <v>1160-2</v>
      </c>
      <c r="CC19" s="6" t="str" cm="1">
        <f t="array" aca="1" ref="CC19" ca="1">INDIRECT(CC$5&amp;$AR19+8)&amp;"-"&amp;1</f>
        <v>1159-1</v>
      </c>
      <c r="CD19" s="7" t="str" cm="1">
        <f t="array" aca="1" ref="CD19" ca="1">INDIRECT(CD$5&amp;$AR19+8)&amp;"-"&amp;2</f>
        <v>1159-2</v>
      </c>
      <c r="CE19" s="6" t="str" cm="1">
        <f t="array" aca="1" ref="CE19" ca="1">INDIRECT(CE$5&amp;$AR19+8)&amp;"-"&amp;1</f>
        <v>1158-1</v>
      </c>
      <c r="CF19" s="7" t="str" cm="1">
        <f t="array" aca="1" ref="CF19" ca="1">INDIRECT(CF$5&amp;$AR19+8)&amp;"-"&amp;2</f>
        <v>1158-2</v>
      </c>
      <c r="CG19" s="6" t="str" cm="1">
        <f t="array" aca="1" ref="CG19" ca="1">INDIRECT(CG$5&amp;$AR19+8)&amp;"-"&amp;1</f>
        <v>1157-1</v>
      </c>
      <c r="CH19" s="7" t="str" cm="1">
        <f t="array" aca="1" ref="CH19" ca="1">INDIRECT(CH$5&amp;$AR19+8)&amp;"-"&amp;2</f>
        <v>1157-2</v>
      </c>
      <c r="CI19" s="6" t="str" cm="1">
        <f t="array" aca="1" ref="CI19" ca="1">INDIRECT(CI$5&amp;$AR19+8)&amp;"-"&amp;1</f>
        <v>1156-1</v>
      </c>
      <c r="CJ19" s="7" t="str" cm="1">
        <f t="array" aca="1" ref="CJ19" ca="1">INDIRECT(CJ$5&amp;$AR19+8)&amp;"-"&amp;2</f>
        <v>1156-2</v>
      </c>
      <c r="CK19" s="6" t="str" cm="1">
        <f t="array" aca="1" ref="CK19" ca="1">INDIRECT(CK$5&amp;$AR19+8)&amp;"-"&amp;1</f>
        <v>1155-1</v>
      </c>
      <c r="CL19" s="7" t="str" cm="1">
        <f t="array" aca="1" ref="CL19" ca="1">INDIRECT(CL$5&amp;$AR19+8)&amp;"-"&amp;2</f>
        <v>1155-2</v>
      </c>
      <c r="CM19" s="6" t="str" cm="1">
        <f t="array" aca="1" ref="CM19" ca="1">INDIRECT(CM$5&amp;$AR19+8)&amp;"-"&amp;1</f>
        <v>1154-1</v>
      </c>
      <c r="CN19" s="7" t="str" cm="1">
        <f t="array" aca="1" ref="CN19" ca="1">INDIRECT(CN$5&amp;$AR19+8)&amp;"-"&amp;2</f>
        <v>1154-2</v>
      </c>
      <c r="CO19" s="6" t="str" cm="1">
        <f t="array" aca="1" ref="CO19" ca="1">INDIRECT(CO$5&amp;$AR19+8)&amp;"-"&amp;1</f>
        <v>1153-1</v>
      </c>
      <c r="CP19" s="7" t="str" cm="1">
        <f t="array" aca="1" ref="CP19" ca="1">INDIRECT(CP$5&amp;$AR19+8)&amp;"-"&amp;2</f>
        <v>1153-2</v>
      </c>
      <c r="CQ19" s="6" t="str" cm="1">
        <f t="array" aca="1" ref="CQ19" ca="1">INDIRECT(CQ$5&amp;$AR19+8)&amp;"-"&amp;1</f>
        <v>1152-1</v>
      </c>
      <c r="CR19" s="7" t="str" cm="1">
        <f t="array" aca="1" ref="CR19" ca="1">INDIRECT(CR$5&amp;$AR19+8)&amp;"-"&amp;2</f>
        <v>1152-2</v>
      </c>
      <c r="CS19" s="6" t="str" cm="1">
        <f t="array" aca="1" ref="CS19" ca="1">INDIRECT(CS$5&amp;$AR19+8)&amp;"-"&amp;1</f>
        <v>1151-1</v>
      </c>
      <c r="CT19" s="7" t="str" cm="1">
        <f t="array" aca="1" ref="CT19" ca="1">INDIRECT(CT$5&amp;$AR19+8)&amp;"-"&amp;2</f>
        <v>1151-2</v>
      </c>
      <c r="CU19" s="6" t="str" cm="1">
        <f t="array" aca="1" ref="CU19" ca="1">INDIRECT(CU$5&amp;$AR19+8)&amp;"-"&amp;1</f>
        <v>1150-1</v>
      </c>
      <c r="CV19" s="7" t="str" cm="1">
        <f t="array" aca="1" ref="CV19" ca="1">INDIRECT(CV$5&amp;$AR19+8)&amp;"-"&amp;2</f>
        <v>1150-2</v>
      </c>
      <c r="CW19" s="6" t="str" cm="1">
        <f t="array" aca="1" ref="CW19" ca="1">INDIRECT(CW$5&amp;$AR19+8)&amp;"-"&amp;1</f>
        <v>1149-1</v>
      </c>
      <c r="CX19" s="7" t="str" cm="1">
        <f t="array" aca="1" ref="CX19" ca="1">INDIRECT(CX$5&amp;$AR19+8)&amp;"-"&amp;2</f>
        <v>1149-2</v>
      </c>
      <c r="CY19" s="6" t="str" cm="1">
        <f t="array" aca="1" ref="CY19" ca="1">INDIRECT(CY$5&amp;$AR19+8)&amp;"-"&amp;1</f>
        <v>1148-1</v>
      </c>
      <c r="CZ19" s="7" t="str" cm="1">
        <f t="array" aca="1" ref="CZ19" ca="1">INDIRECT(CZ$5&amp;$AR19+8)&amp;"-"&amp;2</f>
        <v>1148-2</v>
      </c>
      <c r="DA19" s="6" t="str" cm="1">
        <f t="array" aca="1" ref="DA19" ca="1">INDIRECT(DA$5&amp;$AR19+8)&amp;"-"&amp;1</f>
        <v>1147-1</v>
      </c>
      <c r="DB19" s="7" t="str" cm="1">
        <f t="array" aca="1" ref="DB19" ca="1">INDIRECT(DB$5&amp;$AR19+8)&amp;"-"&amp;2</f>
        <v>1147-2</v>
      </c>
      <c r="DC19" s="6" t="str" cm="1">
        <f t="array" aca="1" ref="DC19" ca="1">INDIRECT(DC$5&amp;$AR19+8)&amp;"-"&amp;1</f>
        <v>1146-1</v>
      </c>
      <c r="DD19" s="7" t="str" cm="1">
        <f t="array" aca="1" ref="DD19" ca="1">INDIRECT(DD$5&amp;$AR19+8)&amp;"-"&amp;2</f>
        <v>1146-2</v>
      </c>
      <c r="DE19" s="6" t="str" cm="1">
        <f t="array" aca="1" ref="DE19" ca="1">INDIRECT(DE$5&amp;$AR19+8)&amp;"-"&amp;1</f>
        <v>1145-1</v>
      </c>
      <c r="DF19" s="7" t="str" cm="1">
        <f t="array" aca="1" ref="DF19" ca="1">INDIRECT(DF$5&amp;$AR19+8)&amp;"-"&amp;2</f>
        <v>1145-2</v>
      </c>
      <c r="DG19" s="25" t="str" cm="1">
        <f t="array" aca="1" ref="DG19" ca="1">INDIRECT(DG$5&amp;$AR19+8)</f>
        <v>Border</v>
      </c>
      <c r="DH19" s="25" t="str" cm="1">
        <f t="array" aca="1" ref="DH19" ca="1">INDIRECT(DH$5&amp;$AR19+8)</f>
        <v>Border</v>
      </c>
    </row>
    <row r="20" spans="1:112" ht="40.049999999999997" customHeight="1" x14ac:dyDescent="0.45">
      <c r="A20" s="2"/>
      <c r="B20" s="3">
        <v>12</v>
      </c>
      <c r="C20" s="11" t="s">
        <v>9</v>
      </c>
      <c r="D20" s="5">
        <f t="shared" ref="D20:R20" si="11">E20+1</f>
        <v>2176</v>
      </c>
      <c r="E20" s="5">
        <f t="shared" si="11"/>
        <v>2175</v>
      </c>
      <c r="F20" s="5">
        <f t="shared" si="11"/>
        <v>2174</v>
      </c>
      <c r="G20" s="5">
        <f t="shared" si="11"/>
        <v>2173</v>
      </c>
      <c r="H20" s="5">
        <f t="shared" si="11"/>
        <v>2172</v>
      </c>
      <c r="I20" s="5">
        <f t="shared" si="11"/>
        <v>2171</v>
      </c>
      <c r="J20" s="5">
        <f t="shared" si="11"/>
        <v>2170</v>
      </c>
      <c r="K20" s="5">
        <f t="shared" si="11"/>
        <v>2169</v>
      </c>
      <c r="L20" s="5">
        <f t="shared" si="11"/>
        <v>2168</v>
      </c>
      <c r="M20" s="5">
        <f t="shared" si="11"/>
        <v>2167</v>
      </c>
      <c r="N20" s="5">
        <f t="shared" si="11"/>
        <v>2166</v>
      </c>
      <c r="O20" s="5">
        <f t="shared" si="11"/>
        <v>2165</v>
      </c>
      <c r="P20" s="5">
        <f t="shared" si="11"/>
        <v>2164</v>
      </c>
      <c r="Q20" s="5">
        <f t="shared" si="11"/>
        <v>2163</v>
      </c>
      <c r="R20" s="5">
        <f t="shared" si="11"/>
        <v>2162</v>
      </c>
      <c r="S20" s="5">
        <f t="array" ref="S20">D19+1</f>
        <v>2161</v>
      </c>
      <c r="T20" s="4">
        <f t="shared" si="2"/>
        <v>1176</v>
      </c>
      <c r="U20" s="4">
        <f t="shared" si="2"/>
        <v>1175</v>
      </c>
      <c r="V20" s="4">
        <f t="shared" si="2"/>
        <v>1174</v>
      </c>
      <c r="W20" s="4">
        <f t="shared" si="2"/>
        <v>1173</v>
      </c>
      <c r="X20" s="4">
        <f t="shared" si="2"/>
        <v>1172</v>
      </c>
      <c r="Y20" s="4">
        <f t="shared" si="2"/>
        <v>1171</v>
      </c>
      <c r="Z20" s="4">
        <f t="shared" si="2"/>
        <v>1170</v>
      </c>
      <c r="AA20" s="4">
        <f t="shared" si="2"/>
        <v>1169</v>
      </c>
      <c r="AB20" s="4">
        <f t="shared" si="2"/>
        <v>1168</v>
      </c>
      <c r="AC20" s="4">
        <f t="shared" si="2"/>
        <v>1167</v>
      </c>
      <c r="AD20" s="4">
        <f t="shared" si="2"/>
        <v>1166</v>
      </c>
      <c r="AE20" s="4">
        <f t="shared" si="2"/>
        <v>1165</v>
      </c>
      <c r="AF20" s="4">
        <f t="shared" si="2"/>
        <v>1164</v>
      </c>
      <c r="AG20" s="4">
        <f t="shared" si="2"/>
        <v>1163</v>
      </c>
      <c r="AH20" s="4">
        <f t="shared" si="2"/>
        <v>1162</v>
      </c>
      <c r="AI20" s="4">
        <f t="shared" si="3"/>
        <v>1161</v>
      </c>
      <c r="AJ20" s="11" t="s">
        <v>9</v>
      </c>
      <c r="AQ20" s="2"/>
      <c r="AR20" s="3">
        <v>12</v>
      </c>
      <c r="AS20" s="22" t="str" cm="1">
        <f t="array" aca="1" ref="AS20" ca="1">INDIRECT(AS$5&amp;$AR20+8)</f>
        <v>Border</v>
      </c>
      <c r="AT20" s="23" t="str" cm="1">
        <f t="array" aca="1" ref="AT20" ca="1">INDIRECT(AT$5&amp;$AR20+8)</f>
        <v>Border</v>
      </c>
      <c r="AU20" s="8" t="str" cm="1">
        <f t="array" aca="1" ref="AU20" ca="1">INDIRECT(AU$5&amp;$AR20+8)&amp;"-"&amp;1</f>
        <v>2176-1</v>
      </c>
      <c r="AV20" s="9" t="str" cm="1">
        <f t="array" aca="1" ref="AV20" ca="1">INDIRECT(AV$5&amp;$AR20+8)&amp;"-"&amp;2</f>
        <v>2176-2</v>
      </c>
      <c r="AW20" s="8" t="str" cm="1">
        <f t="array" aca="1" ref="AW20" ca="1">INDIRECT(AW$5&amp;$AR20+8)&amp;"-"&amp;1</f>
        <v>2175-1</v>
      </c>
      <c r="AX20" s="9" t="str" cm="1">
        <f t="array" aca="1" ref="AX20" ca="1">INDIRECT(AX$5&amp;$AR20+8)&amp;"-"&amp;2</f>
        <v>2175-2</v>
      </c>
      <c r="AY20" s="8" t="str" cm="1">
        <f t="array" aca="1" ref="AY20" ca="1">INDIRECT(AY$5&amp;$AR20+8)&amp;"-"&amp;1</f>
        <v>2174-1</v>
      </c>
      <c r="AZ20" s="9" t="str" cm="1">
        <f t="array" aca="1" ref="AZ20" ca="1">INDIRECT(AZ$5&amp;$AR20+8)&amp;"-"&amp;2</f>
        <v>2174-2</v>
      </c>
      <c r="BA20" s="8" t="str" cm="1">
        <f t="array" aca="1" ref="BA20" ca="1">INDIRECT(BA$5&amp;$AR20+8)&amp;"-"&amp;1</f>
        <v>2173-1</v>
      </c>
      <c r="BB20" s="9" t="str" cm="1">
        <f t="array" aca="1" ref="BB20" ca="1">INDIRECT(BB$5&amp;$AR20+8)&amp;"-"&amp;2</f>
        <v>2173-2</v>
      </c>
      <c r="BC20" s="8" t="str" cm="1">
        <f t="array" aca="1" ref="BC20" ca="1">INDIRECT(BC$5&amp;$AR20+8)&amp;"-"&amp;1</f>
        <v>2172-1</v>
      </c>
      <c r="BD20" s="9" t="str" cm="1">
        <f t="array" aca="1" ref="BD20" ca="1">INDIRECT(BD$5&amp;$AR20+8)&amp;"-"&amp;2</f>
        <v>2172-2</v>
      </c>
      <c r="BE20" s="8" t="str" cm="1">
        <f t="array" aca="1" ref="BE20" ca="1">INDIRECT(BE$5&amp;$AR20+8)&amp;"-"&amp;1</f>
        <v>2171-1</v>
      </c>
      <c r="BF20" s="9" t="str" cm="1">
        <f t="array" aca="1" ref="BF20" ca="1">INDIRECT(BF$5&amp;$AR20+8)&amp;"-"&amp;2</f>
        <v>2171-2</v>
      </c>
      <c r="BG20" s="8" t="str" cm="1">
        <f t="array" aca="1" ref="BG20" ca="1">INDIRECT(BG$5&amp;$AR20+8)&amp;"-"&amp;1</f>
        <v>2170-1</v>
      </c>
      <c r="BH20" s="9" t="str" cm="1">
        <f t="array" aca="1" ref="BH20" ca="1">INDIRECT(BH$5&amp;$AR20+8)&amp;"-"&amp;2</f>
        <v>2170-2</v>
      </c>
      <c r="BI20" s="8" t="str" cm="1">
        <f t="array" aca="1" ref="BI20" ca="1">INDIRECT(BI$5&amp;$AR20+8)&amp;"-"&amp;1</f>
        <v>2169-1</v>
      </c>
      <c r="BJ20" s="9" t="str" cm="1">
        <f t="array" aca="1" ref="BJ20" ca="1">INDIRECT(BJ$5&amp;$AR20+8)&amp;"-"&amp;2</f>
        <v>2169-2</v>
      </c>
      <c r="BK20" s="8" t="str" cm="1">
        <f t="array" aca="1" ref="BK20" ca="1">INDIRECT(BK$5&amp;$AR20+8)&amp;"-"&amp;1</f>
        <v>2168-1</v>
      </c>
      <c r="BL20" s="9" t="str" cm="1">
        <f t="array" aca="1" ref="BL20" ca="1">INDIRECT(BL$5&amp;$AR20+8)&amp;"-"&amp;2</f>
        <v>2168-2</v>
      </c>
      <c r="BM20" s="8" t="str" cm="1">
        <f t="array" aca="1" ref="BM20" ca="1">INDIRECT(BM$5&amp;$AR20+8)&amp;"-"&amp;1</f>
        <v>2167-1</v>
      </c>
      <c r="BN20" s="9" t="str" cm="1">
        <f t="array" aca="1" ref="BN20" ca="1">INDIRECT(BN$5&amp;$AR20+8)&amp;"-"&amp;2</f>
        <v>2167-2</v>
      </c>
      <c r="BO20" s="8" t="str" cm="1">
        <f t="array" aca="1" ref="BO20" ca="1">INDIRECT(BO$5&amp;$AR20+8)&amp;"-"&amp;1</f>
        <v>2166-1</v>
      </c>
      <c r="BP20" s="9" t="str" cm="1">
        <f t="array" aca="1" ref="BP20" ca="1">INDIRECT(BP$5&amp;$AR20+8)&amp;"-"&amp;2</f>
        <v>2166-2</v>
      </c>
      <c r="BQ20" s="8" t="str" cm="1">
        <f t="array" aca="1" ref="BQ20" ca="1">INDIRECT(BQ$5&amp;$AR20+8)&amp;"-"&amp;1</f>
        <v>2165-1</v>
      </c>
      <c r="BR20" s="9" t="str" cm="1">
        <f t="array" aca="1" ref="BR20" ca="1">INDIRECT(BR$5&amp;$AR20+8)&amp;"-"&amp;2</f>
        <v>2165-2</v>
      </c>
      <c r="BS20" s="8" t="str" cm="1">
        <f t="array" aca="1" ref="BS20" ca="1">INDIRECT(BS$5&amp;$AR20+8)&amp;"-"&amp;1</f>
        <v>2164-1</v>
      </c>
      <c r="BT20" s="9" t="str" cm="1">
        <f t="array" aca="1" ref="BT20" ca="1">INDIRECT(BT$5&amp;$AR20+8)&amp;"-"&amp;2</f>
        <v>2164-2</v>
      </c>
      <c r="BU20" s="8" t="str" cm="1">
        <f t="array" aca="1" ref="BU20" ca="1">INDIRECT(BU$5&amp;$AR20+8)&amp;"-"&amp;1</f>
        <v>2163-1</v>
      </c>
      <c r="BV20" s="9" t="str" cm="1">
        <f t="array" aca="1" ref="BV20" ca="1">INDIRECT(BV$5&amp;$AR20+8)&amp;"-"&amp;2</f>
        <v>2163-2</v>
      </c>
      <c r="BW20" s="8" t="str" cm="1">
        <f t="array" aca="1" ref="BW20" ca="1">INDIRECT(BW$5&amp;$AR20+8)&amp;"-"&amp;1</f>
        <v>2162-1</v>
      </c>
      <c r="BX20" s="9" t="str" cm="1">
        <f t="array" aca="1" ref="BX20" ca="1">INDIRECT(BX$5&amp;$AR20+8)&amp;"-"&amp;2</f>
        <v>2162-2</v>
      </c>
      <c r="BY20" s="8" t="str" cm="1">
        <f t="array" aca="1" ref="BY20" ca="1">INDIRECT(BY$5&amp;$AR20+8)&amp;"-"&amp;1</f>
        <v>2161-1</v>
      </c>
      <c r="BZ20" s="9" t="str" cm="1">
        <f t="array" aca="1" ref="BZ20" ca="1">INDIRECT(BZ$5&amp;$AR20+8)&amp;"-"&amp;2</f>
        <v>2161-2</v>
      </c>
      <c r="CA20" s="6" t="str" cm="1">
        <f t="array" aca="1" ref="CA20" ca="1">INDIRECT(CA$5&amp;$AR20+8)&amp;"-"&amp;1</f>
        <v>1176-1</v>
      </c>
      <c r="CB20" s="7" t="str" cm="1">
        <f t="array" aca="1" ref="CB20" ca="1">INDIRECT(CB$5&amp;$AR20+8)&amp;"-"&amp;2</f>
        <v>1176-2</v>
      </c>
      <c r="CC20" s="6" t="str" cm="1">
        <f t="array" aca="1" ref="CC20" ca="1">INDIRECT(CC$5&amp;$AR20+8)&amp;"-"&amp;1</f>
        <v>1175-1</v>
      </c>
      <c r="CD20" s="7" t="str" cm="1">
        <f t="array" aca="1" ref="CD20" ca="1">INDIRECT(CD$5&amp;$AR20+8)&amp;"-"&amp;2</f>
        <v>1175-2</v>
      </c>
      <c r="CE20" s="6" t="str" cm="1">
        <f t="array" aca="1" ref="CE20" ca="1">INDIRECT(CE$5&amp;$AR20+8)&amp;"-"&amp;1</f>
        <v>1174-1</v>
      </c>
      <c r="CF20" s="7" t="str" cm="1">
        <f t="array" aca="1" ref="CF20" ca="1">INDIRECT(CF$5&amp;$AR20+8)&amp;"-"&amp;2</f>
        <v>1174-2</v>
      </c>
      <c r="CG20" s="6" t="str" cm="1">
        <f t="array" aca="1" ref="CG20" ca="1">INDIRECT(CG$5&amp;$AR20+8)&amp;"-"&amp;1</f>
        <v>1173-1</v>
      </c>
      <c r="CH20" s="7" t="str" cm="1">
        <f t="array" aca="1" ref="CH20" ca="1">INDIRECT(CH$5&amp;$AR20+8)&amp;"-"&amp;2</f>
        <v>1173-2</v>
      </c>
      <c r="CI20" s="6" t="str" cm="1">
        <f t="array" aca="1" ref="CI20" ca="1">INDIRECT(CI$5&amp;$AR20+8)&amp;"-"&amp;1</f>
        <v>1172-1</v>
      </c>
      <c r="CJ20" s="7" t="str" cm="1">
        <f t="array" aca="1" ref="CJ20" ca="1">INDIRECT(CJ$5&amp;$AR20+8)&amp;"-"&amp;2</f>
        <v>1172-2</v>
      </c>
      <c r="CK20" s="6" t="str" cm="1">
        <f t="array" aca="1" ref="CK20" ca="1">INDIRECT(CK$5&amp;$AR20+8)&amp;"-"&amp;1</f>
        <v>1171-1</v>
      </c>
      <c r="CL20" s="7" t="str" cm="1">
        <f t="array" aca="1" ref="CL20" ca="1">INDIRECT(CL$5&amp;$AR20+8)&amp;"-"&amp;2</f>
        <v>1171-2</v>
      </c>
      <c r="CM20" s="6" t="str" cm="1">
        <f t="array" aca="1" ref="CM20" ca="1">INDIRECT(CM$5&amp;$AR20+8)&amp;"-"&amp;1</f>
        <v>1170-1</v>
      </c>
      <c r="CN20" s="7" t="str" cm="1">
        <f t="array" aca="1" ref="CN20" ca="1">INDIRECT(CN$5&amp;$AR20+8)&amp;"-"&amp;2</f>
        <v>1170-2</v>
      </c>
      <c r="CO20" s="6" t="str" cm="1">
        <f t="array" aca="1" ref="CO20" ca="1">INDIRECT(CO$5&amp;$AR20+8)&amp;"-"&amp;1</f>
        <v>1169-1</v>
      </c>
      <c r="CP20" s="7" t="str" cm="1">
        <f t="array" aca="1" ref="CP20" ca="1">INDIRECT(CP$5&amp;$AR20+8)&amp;"-"&amp;2</f>
        <v>1169-2</v>
      </c>
      <c r="CQ20" s="6" t="str" cm="1">
        <f t="array" aca="1" ref="CQ20" ca="1">INDIRECT(CQ$5&amp;$AR20+8)&amp;"-"&amp;1</f>
        <v>1168-1</v>
      </c>
      <c r="CR20" s="7" t="str" cm="1">
        <f t="array" aca="1" ref="CR20" ca="1">INDIRECT(CR$5&amp;$AR20+8)&amp;"-"&amp;2</f>
        <v>1168-2</v>
      </c>
      <c r="CS20" s="6" t="str" cm="1">
        <f t="array" aca="1" ref="CS20" ca="1">INDIRECT(CS$5&amp;$AR20+8)&amp;"-"&amp;1</f>
        <v>1167-1</v>
      </c>
      <c r="CT20" s="7" t="str" cm="1">
        <f t="array" aca="1" ref="CT20" ca="1">INDIRECT(CT$5&amp;$AR20+8)&amp;"-"&amp;2</f>
        <v>1167-2</v>
      </c>
      <c r="CU20" s="6" t="str" cm="1">
        <f t="array" aca="1" ref="CU20" ca="1">INDIRECT(CU$5&amp;$AR20+8)&amp;"-"&amp;1</f>
        <v>1166-1</v>
      </c>
      <c r="CV20" s="7" t="str" cm="1">
        <f t="array" aca="1" ref="CV20" ca="1">INDIRECT(CV$5&amp;$AR20+8)&amp;"-"&amp;2</f>
        <v>1166-2</v>
      </c>
      <c r="CW20" s="6" t="str" cm="1">
        <f t="array" aca="1" ref="CW20" ca="1">INDIRECT(CW$5&amp;$AR20+8)&amp;"-"&amp;1</f>
        <v>1165-1</v>
      </c>
      <c r="CX20" s="7" t="str" cm="1">
        <f t="array" aca="1" ref="CX20" ca="1">INDIRECT(CX$5&amp;$AR20+8)&amp;"-"&amp;2</f>
        <v>1165-2</v>
      </c>
      <c r="CY20" s="6" t="str" cm="1">
        <f t="array" aca="1" ref="CY20" ca="1">INDIRECT(CY$5&amp;$AR20+8)&amp;"-"&amp;1</f>
        <v>1164-1</v>
      </c>
      <c r="CZ20" s="7" t="str" cm="1">
        <f t="array" aca="1" ref="CZ20" ca="1">INDIRECT(CZ$5&amp;$AR20+8)&amp;"-"&amp;2</f>
        <v>1164-2</v>
      </c>
      <c r="DA20" s="6" t="str" cm="1">
        <f t="array" aca="1" ref="DA20" ca="1">INDIRECT(DA$5&amp;$AR20+8)&amp;"-"&amp;1</f>
        <v>1163-1</v>
      </c>
      <c r="DB20" s="7" t="str" cm="1">
        <f t="array" aca="1" ref="DB20" ca="1">INDIRECT(DB$5&amp;$AR20+8)&amp;"-"&amp;2</f>
        <v>1163-2</v>
      </c>
      <c r="DC20" s="6" t="str" cm="1">
        <f t="array" aca="1" ref="DC20" ca="1">INDIRECT(DC$5&amp;$AR20+8)&amp;"-"&amp;1</f>
        <v>1162-1</v>
      </c>
      <c r="DD20" s="7" t="str" cm="1">
        <f t="array" aca="1" ref="DD20" ca="1">INDIRECT(DD$5&amp;$AR20+8)&amp;"-"&amp;2</f>
        <v>1162-2</v>
      </c>
      <c r="DE20" s="6" t="str" cm="1">
        <f t="array" aca="1" ref="DE20" ca="1">INDIRECT(DE$5&amp;$AR20+8)&amp;"-"&amp;1</f>
        <v>1161-1</v>
      </c>
      <c r="DF20" s="7" t="str" cm="1">
        <f t="array" aca="1" ref="DF20" ca="1">INDIRECT(DF$5&amp;$AR20+8)&amp;"-"&amp;2</f>
        <v>1161-2</v>
      </c>
      <c r="DG20" s="25" t="str" cm="1">
        <f t="array" aca="1" ref="DG20" ca="1">INDIRECT(DG$5&amp;$AR20+8)</f>
        <v>Border</v>
      </c>
      <c r="DH20" s="25" t="str" cm="1">
        <f t="array" aca="1" ref="DH20" ca="1">INDIRECT(DH$5&amp;$AR20+8)</f>
        <v>Border</v>
      </c>
    </row>
    <row r="21" spans="1:112" ht="40.049999999999997" customHeight="1" x14ac:dyDescent="0.45">
      <c r="A21" s="2"/>
      <c r="B21" s="3">
        <v>13</v>
      </c>
      <c r="C21" s="11" t="s">
        <v>9</v>
      </c>
      <c r="D21" s="5">
        <f t="shared" ref="D21:R21" si="12">E21+1</f>
        <v>2192</v>
      </c>
      <c r="E21" s="5">
        <f t="shared" si="12"/>
        <v>2191</v>
      </c>
      <c r="F21" s="5">
        <f t="shared" si="12"/>
        <v>2190</v>
      </c>
      <c r="G21" s="5">
        <f t="shared" si="12"/>
        <v>2189</v>
      </c>
      <c r="H21" s="5">
        <f t="shared" si="12"/>
        <v>2188</v>
      </c>
      <c r="I21" s="5">
        <f t="shared" si="12"/>
        <v>2187</v>
      </c>
      <c r="J21" s="5">
        <f t="shared" si="12"/>
        <v>2186</v>
      </c>
      <c r="K21" s="5">
        <f t="shared" si="12"/>
        <v>2185</v>
      </c>
      <c r="L21" s="5">
        <f t="shared" si="12"/>
        <v>2184</v>
      </c>
      <c r="M21" s="5">
        <f t="shared" si="12"/>
        <v>2183</v>
      </c>
      <c r="N21" s="5">
        <f t="shared" si="12"/>
        <v>2182</v>
      </c>
      <c r="O21" s="5">
        <f t="shared" si="12"/>
        <v>2181</v>
      </c>
      <c r="P21" s="5">
        <f t="shared" si="12"/>
        <v>2180</v>
      </c>
      <c r="Q21" s="5">
        <f t="shared" si="12"/>
        <v>2179</v>
      </c>
      <c r="R21" s="5">
        <f t="shared" si="12"/>
        <v>2178</v>
      </c>
      <c r="S21" s="5">
        <f t="array" ref="S21">D20+1</f>
        <v>2177</v>
      </c>
      <c r="T21" s="4">
        <f t="shared" si="2"/>
        <v>1192</v>
      </c>
      <c r="U21" s="4">
        <f t="shared" si="2"/>
        <v>1191</v>
      </c>
      <c r="V21" s="4">
        <f t="shared" si="2"/>
        <v>1190</v>
      </c>
      <c r="W21" s="4">
        <f t="shared" si="2"/>
        <v>1189</v>
      </c>
      <c r="X21" s="4">
        <f t="shared" si="2"/>
        <v>1188</v>
      </c>
      <c r="Y21" s="4">
        <f t="shared" si="2"/>
        <v>1187</v>
      </c>
      <c r="Z21" s="4">
        <f t="shared" si="2"/>
        <v>1186</v>
      </c>
      <c r="AA21" s="4">
        <f t="shared" si="2"/>
        <v>1185</v>
      </c>
      <c r="AB21" s="4">
        <f t="shared" si="2"/>
        <v>1184</v>
      </c>
      <c r="AC21" s="4">
        <f t="shared" si="2"/>
        <v>1183</v>
      </c>
      <c r="AD21" s="4">
        <f t="shared" si="2"/>
        <v>1182</v>
      </c>
      <c r="AE21" s="4">
        <f t="shared" si="2"/>
        <v>1181</v>
      </c>
      <c r="AF21" s="4">
        <f t="shared" si="2"/>
        <v>1180</v>
      </c>
      <c r="AG21" s="4">
        <f t="shared" si="2"/>
        <v>1179</v>
      </c>
      <c r="AH21" s="4">
        <f t="shared" si="2"/>
        <v>1178</v>
      </c>
      <c r="AI21" s="4">
        <f t="shared" si="3"/>
        <v>1177</v>
      </c>
      <c r="AJ21" s="11" t="s">
        <v>9</v>
      </c>
      <c r="AQ21" s="2"/>
      <c r="AR21" s="3">
        <v>13</v>
      </c>
      <c r="AS21" s="22" t="str" cm="1">
        <f t="array" aca="1" ref="AS21" ca="1">INDIRECT(AS$5&amp;$AR21+8)</f>
        <v>Border</v>
      </c>
      <c r="AT21" s="23" t="str" cm="1">
        <f t="array" aca="1" ref="AT21" ca="1">INDIRECT(AT$5&amp;$AR21+8)</f>
        <v>Border</v>
      </c>
      <c r="AU21" s="8" t="str" cm="1">
        <f t="array" aca="1" ref="AU21" ca="1">INDIRECT(AU$5&amp;$AR21+8)&amp;"-"&amp;1</f>
        <v>2192-1</v>
      </c>
      <c r="AV21" s="9" t="str" cm="1">
        <f t="array" aca="1" ref="AV21" ca="1">INDIRECT(AV$5&amp;$AR21+8)&amp;"-"&amp;2</f>
        <v>2192-2</v>
      </c>
      <c r="AW21" s="8" t="str" cm="1">
        <f t="array" aca="1" ref="AW21" ca="1">INDIRECT(AW$5&amp;$AR21+8)&amp;"-"&amp;1</f>
        <v>2191-1</v>
      </c>
      <c r="AX21" s="9" t="str" cm="1">
        <f t="array" aca="1" ref="AX21" ca="1">INDIRECT(AX$5&amp;$AR21+8)&amp;"-"&amp;2</f>
        <v>2191-2</v>
      </c>
      <c r="AY21" s="8" t="str" cm="1">
        <f t="array" aca="1" ref="AY21" ca="1">INDIRECT(AY$5&amp;$AR21+8)&amp;"-"&amp;1</f>
        <v>2190-1</v>
      </c>
      <c r="AZ21" s="9" t="str" cm="1">
        <f t="array" aca="1" ref="AZ21" ca="1">INDIRECT(AZ$5&amp;$AR21+8)&amp;"-"&amp;2</f>
        <v>2190-2</v>
      </c>
      <c r="BA21" s="8" t="str" cm="1">
        <f t="array" aca="1" ref="BA21" ca="1">INDIRECT(BA$5&amp;$AR21+8)&amp;"-"&amp;1</f>
        <v>2189-1</v>
      </c>
      <c r="BB21" s="9" t="str" cm="1">
        <f t="array" aca="1" ref="BB21" ca="1">INDIRECT(BB$5&amp;$AR21+8)&amp;"-"&amp;2</f>
        <v>2189-2</v>
      </c>
      <c r="BC21" s="8" t="str" cm="1">
        <f t="array" aca="1" ref="BC21" ca="1">INDIRECT(BC$5&amp;$AR21+8)&amp;"-"&amp;1</f>
        <v>2188-1</v>
      </c>
      <c r="BD21" s="9" t="str" cm="1">
        <f t="array" aca="1" ref="BD21" ca="1">INDIRECT(BD$5&amp;$AR21+8)&amp;"-"&amp;2</f>
        <v>2188-2</v>
      </c>
      <c r="BE21" s="8" t="str" cm="1">
        <f t="array" aca="1" ref="BE21" ca="1">INDIRECT(BE$5&amp;$AR21+8)&amp;"-"&amp;1</f>
        <v>2187-1</v>
      </c>
      <c r="BF21" s="9" t="str" cm="1">
        <f t="array" aca="1" ref="BF21" ca="1">INDIRECT(BF$5&amp;$AR21+8)&amp;"-"&amp;2</f>
        <v>2187-2</v>
      </c>
      <c r="BG21" s="8" t="str" cm="1">
        <f t="array" aca="1" ref="BG21" ca="1">INDIRECT(BG$5&amp;$AR21+8)&amp;"-"&amp;1</f>
        <v>2186-1</v>
      </c>
      <c r="BH21" s="9" t="str" cm="1">
        <f t="array" aca="1" ref="BH21" ca="1">INDIRECT(BH$5&amp;$AR21+8)&amp;"-"&amp;2</f>
        <v>2186-2</v>
      </c>
      <c r="BI21" s="8" t="str" cm="1">
        <f t="array" aca="1" ref="BI21" ca="1">INDIRECT(BI$5&amp;$AR21+8)&amp;"-"&amp;1</f>
        <v>2185-1</v>
      </c>
      <c r="BJ21" s="9" t="str" cm="1">
        <f t="array" aca="1" ref="BJ21" ca="1">INDIRECT(BJ$5&amp;$AR21+8)&amp;"-"&amp;2</f>
        <v>2185-2</v>
      </c>
      <c r="BK21" s="8" t="str" cm="1">
        <f t="array" aca="1" ref="BK21" ca="1">INDIRECT(BK$5&amp;$AR21+8)&amp;"-"&amp;1</f>
        <v>2184-1</v>
      </c>
      <c r="BL21" s="9" t="str" cm="1">
        <f t="array" aca="1" ref="BL21" ca="1">INDIRECT(BL$5&amp;$AR21+8)&amp;"-"&amp;2</f>
        <v>2184-2</v>
      </c>
      <c r="BM21" s="8" t="str" cm="1">
        <f t="array" aca="1" ref="BM21" ca="1">INDIRECT(BM$5&amp;$AR21+8)&amp;"-"&amp;1</f>
        <v>2183-1</v>
      </c>
      <c r="BN21" s="9" t="str" cm="1">
        <f t="array" aca="1" ref="BN21" ca="1">INDIRECT(BN$5&amp;$AR21+8)&amp;"-"&amp;2</f>
        <v>2183-2</v>
      </c>
      <c r="BO21" s="8" t="str" cm="1">
        <f t="array" aca="1" ref="BO21" ca="1">INDIRECT(BO$5&amp;$AR21+8)&amp;"-"&amp;1</f>
        <v>2182-1</v>
      </c>
      <c r="BP21" s="9" t="str" cm="1">
        <f t="array" aca="1" ref="BP21" ca="1">INDIRECT(BP$5&amp;$AR21+8)&amp;"-"&amp;2</f>
        <v>2182-2</v>
      </c>
      <c r="BQ21" s="8" t="str" cm="1">
        <f t="array" aca="1" ref="BQ21" ca="1">INDIRECT(BQ$5&amp;$AR21+8)&amp;"-"&amp;1</f>
        <v>2181-1</v>
      </c>
      <c r="BR21" s="9" t="str" cm="1">
        <f t="array" aca="1" ref="BR21" ca="1">INDIRECT(BR$5&amp;$AR21+8)&amp;"-"&amp;2</f>
        <v>2181-2</v>
      </c>
      <c r="BS21" s="8" t="str" cm="1">
        <f t="array" aca="1" ref="BS21" ca="1">INDIRECT(BS$5&amp;$AR21+8)&amp;"-"&amp;1</f>
        <v>2180-1</v>
      </c>
      <c r="BT21" s="9" t="str" cm="1">
        <f t="array" aca="1" ref="BT21" ca="1">INDIRECT(BT$5&amp;$AR21+8)&amp;"-"&amp;2</f>
        <v>2180-2</v>
      </c>
      <c r="BU21" s="8" t="str" cm="1">
        <f t="array" aca="1" ref="BU21" ca="1">INDIRECT(BU$5&amp;$AR21+8)&amp;"-"&amp;1</f>
        <v>2179-1</v>
      </c>
      <c r="BV21" s="9" t="str" cm="1">
        <f t="array" aca="1" ref="BV21" ca="1">INDIRECT(BV$5&amp;$AR21+8)&amp;"-"&amp;2</f>
        <v>2179-2</v>
      </c>
      <c r="BW21" s="8" t="str" cm="1">
        <f t="array" aca="1" ref="BW21" ca="1">INDIRECT(BW$5&amp;$AR21+8)&amp;"-"&amp;1</f>
        <v>2178-1</v>
      </c>
      <c r="BX21" s="9" t="str" cm="1">
        <f t="array" aca="1" ref="BX21" ca="1">INDIRECT(BX$5&amp;$AR21+8)&amp;"-"&amp;2</f>
        <v>2178-2</v>
      </c>
      <c r="BY21" s="8" t="str" cm="1">
        <f t="array" aca="1" ref="BY21" ca="1">INDIRECT(BY$5&amp;$AR21+8)&amp;"-"&amp;1</f>
        <v>2177-1</v>
      </c>
      <c r="BZ21" s="9" t="str" cm="1">
        <f t="array" aca="1" ref="BZ21" ca="1">INDIRECT(BZ$5&amp;$AR21+8)&amp;"-"&amp;2</f>
        <v>2177-2</v>
      </c>
      <c r="CA21" s="6" t="str" cm="1">
        <f t="array" aca="1" ref="CA21" ca="1">INDIRECT(CA$5&amp;$AR21+8)&amp;"-"&amp;1</f>
        <v>1192-1</v>
      </c>
      <c r="CB21" s="7" t="str" cm="1">
        <f t="array" aca="1" ref="CB21" ca="1">INDIRECT(CB$5&amp;$AR21+8)&amp;"-"&amp;2</f>
        <v>1192-2</v>
      </c>
      <c r="CC21" s="6" t="str" cm="1">
        <f t="array" aca="1" ref="CC21" ca="1">INDIRECT(CC$5&amp;$AR21+8)&amp;"-"&amp;1</f>
        <v>1191-1</v>
      </c>
      <c r="CD21" s="7" t="str" cm="1">
        <f t="array" aca="1" ref="CD21" ca="1">INDIRECT(CD$5&amp;$AR21+8)&amp;"-"&amp;2</f>
        <v>1191-2</v>
      </c>
      <c r="CE21" s="6" t="str" cm="1">
        <f t="array" aca="1" ref="CE21" ca="1">INDIRECT(CE$5&amp;$AR21+8)&amp;"-"&amp;1</f>
        <v>1190-1</v>
      </c>
      <c r="CF21" s="7" t="str" cm="1">
        <f t="array" aca="1" ref="CF21" ca="1">INDIRECT(CF$5&amp;$AR21+8)&amp;"-"&amp;2</f>
        <v>1190-2</v>
      </c>
      <c r="CG21" s="6" t="str" cm="1">
        <f t="array" aca="1" ref="CG21" ca="1">INDIRECT(CG$5&amp;$AR21+8)&amp;"-"&amp;1</f>
        <v>1189-1</v>
      </c>
      <c r="CH21" s="7" t="str" cm="1">
        <f t="array" aca="1" ref="CH21" ca="1">INDIRECT(CH$5&amp;$AR21+8)&amp;"-"&amp;2</f>
        <v>1189-2</v>
      </c>
      <c r="CI21" s="6" t="str" cm="1">
        <f t="array" aca="1" ref="CI21" ca="1">INDIRECT(CI$5&amp;$AR21+8)&amp;"-"&amp;1</f>
        <v>1188-1</v>
      </c>
      <c r="CJ21" s="7" t="str" cm="1">
        <f t="array" aca="1" ref="CJ21" ca="1">INDIRECT(CJ$5&amp;$AR21+8)&amp;"-"&amp;2</f>
        <v>1188-2</v>
      </c>
      <c r="CK21" s="6" t="str" cm="1">
        <f t="array" aca="1" ref="CK21" ca="1">INDIRECT(CK$5&amp;$AR21+8)&amp;"-"&amp;1</f>
        <v>1187-1</v>
      </c>
      <c r="CL21" s="7" t="str" cm="1">
        <f t="array" aca="1" ref="CL21" ca="1">INDIRECT(CL$5&amp;$AR21+8)&amp;"-"&amp;2</f>
        <v>1187-2</v>
      </c>
      <c r="CM21" s="6" t="str" cm="1">
        <f t="array" aca="1" ref="CM21" ca="1">INDIRECT(CM$5&amp;$AR21+8)&amp;"-"&amp;1</f>
        <v>1186-1</v>
      </c>
      <c r="CN21" s="7" t="str" cm="1">
        <f t="array" aca="1" ref="CN21" ca="1">INDIRECT(CN$5&amp;$AR21+8)&amp;"-"&amp;2</f>
        <v>1186-2</v>
      </c>
      <c r="CO21" s="6" t="str" cm="1">
        <f t="array" aca="1" ref="CO21" ca="1">INDIRECT(CO$5&amp;$AR21+8)&amp;"-"&amp;1</f>
        <v>1185-1</v>
      </c>
      <c r="CP21" s="7" t="str" cm="1">
        <f t="array" aca="1" ref="CP21" ca="1">INDIRECT(CP$5&amp;$AR21+8)&amp;"-"&amp;2</f>
        <v>1185-2</v>
      </c>
      <c r="CQ21" s="6" t="str" cm="1">
        <f t="array" aca="1" ref="CQ21" ca="1">INDIRECT(CQ$5&amp;$AR21+8)&amp;"-"&amp;1</f>
        <v>1184-1</v>
      </c>
      <c r="CR21" s="7" t="str" cm="1">
        <f t="array" aca="1" ref="CR21" ca="1">INDIRECT(CR$5&amp;$AR21+8)&amp;"-"&amp;2</f>
        <v>1184-2</v>
      </c>
      <c r="CS21" s="6" t="str" cm="1">
        <f t="array" aca="1" ref="CS21" ca="1">INDIRECT(CS$5&amp;$AR21+8)&amp;"-"&amp;1</f>
        <v>1183-1</v>
      </c>
      <c r="CT21" s="7" t="str" cm="1">
        <f t="array" aca="1" ref="CT21" ca="1">INDIRECT(CT$5&amp;$AR21+8)&amp;"-"&amp;2</f>
        <v>1183-2</v>
      </c>
      <c r="CU21" s="6" t="str" cm="1">
        <f t="array" aca="1" ref="CU21" ca="1">INDIRECT(CU$5&amp;$AR21+8)&amp;"-"&amp;1</f>
        <v>1182-1</v>
      </c>
      <c r="CV21" s="7" t="str" cm="1">
        <f t="array" aca="1" ref="CV21" ca="1">INDIRECT(CV$5&amp;$AR21+8)&amp;"-"&amp;2</f>
        <v>1182-2</v>
      </c>
      <c r="CW21" s="6" t="str" cm="1">
        <f t="array" aca="1" ref="CW21" ca="1">INDIRECT(CW$5&amp;$AR21+8)&amp;"-"&amp;1</f>
        <v>1181-1</v>
      </c>
      <c r="CX21" s="7" t="str" cm="1">
        <f t="array" aca="1" ref="CX21" ca="1">INDIRECT(CX$5&amp;$AR21+8)&amp;"-"&amp;2</f>
        <v>1181-2</v>
      </c>
      <c r="CY21" s="6" t="str" cm="1">
        <f t="array" aca="1" ref="CY21" ca="1">INDIRECT(CY$5&amp;$AR21+8)&amp;"-"&amp;1</f>
        <v>1180-1</v>
      </c>
      <c r="CZ21" s="7" t="str" cm="1">
        <f t="array" aca="1" ref="CZ21" ca="1">INDIRECT(CZ$5&amp;$AR21+8)&amp;"-"&amp;2</f>
        <v>1180-2</v>
      </c>
      <c r="DA21" s="6" t="str" cm="1">
        <f t="array" aca="1" ref="DA21" ca="1">INDIRECT(DA$5&amp;$AR21+8)&amp;"-"&amp;1</f>
        <v>1179-1</v>
      </c>
      <c r="DB21" s="7" t="str" cm="1">
        <f t="array" aca="1" ref="DB21" ca="1">INDIRECT(DB$5&amp;$AR21+8)&amp;"-"&amp;2</f>
        <v>1179-2</v>
      </c>
      <c r="DC21" s="6" t="str" cm="1">
        <f t="array" aca="1" ref="DC21" ca="1">INDIRECT(DC$5&amp;$AR21+8)&amp;"-"&amp;1</f>
        <v>1178-1</v>
      </c>
      <c r="DD21" s="7" t="str" cm="1">
        <f t="array" aca="1" ref="DD21" ca="1">INDIRECT(DD$5&amp;$AR21+8)&amp;"-"&amp;2</f>
        <v>1178-2</v>
      </c>
      <c r="DE21" s="6" t="str" cm="1">
        <f t="array" aca="1" ref="DE21" ca="1">INDIRECT(DE$5&amp;$AR21+8)&amp;"-"&amp;1</f>
        <v>1177-1</v>
      </c>
      <c r="DF21" s="7" t="str" cm="1">
        <f t="array" aca="1" ref="DF21" ca="1">INDIRECT(DF$5&amp;$AR21+8)&amp;"-"&amp;2</f>
        <v>1177-2</v>
      </c>
      <c r="DG21" s="25" t="str" cm="1">
        <f t="array" aca="1" ref="DG21" ca="1">INDIRECT(DG$5&amp;$AR21+8)</f>
        <v>Border</v>
      </c>
      <c r="DH21" s="25" t="str" cm="1">
        <f t="array" aca="1" ref="DH21" ca="1">INDIRECT(DH$5&amp;$AR21+8)</f>
        <v>Border</v>
      </c>
    </row>
    <row r="22" spans="1:112" ht="40.049999999999997" customHeight="1" x14ac:dyDescent="0.45">
      <c r="A22" s="2"/>
      <c r="B22" s="3">
        <v>14</v>
      </c>
      <c r="C22" s="11" t="s">
        <v>9</v>
      </c>
      <c r="D22" s="5">
        <f t="shared" ref="D22:R22" si="13">E22+1</f>
        <v>2208</v>
      </c>
      <c r="E22" s="5">
        <f t="shared" si="13"/>
        <v>2207</v>
      </c>
      <c r="F22" s="5">
        <f t="shared" si="13"/>
        <v>2206</v>
      </c>
      <c r="G22" s="5">
        <f t="shared" si="13"/>
        <v>2205</v>
      </c>
      <c r="H22" s="5">
        <f t="shared" si="13"/>
        <v>2204</v>
      </c>
      <c r="I22" s="5">
        <f t="shared" si="13"/>
        <v>2203</v>
      </c>
      <c r="J22" s="5">
        <f t="shared" si="13"/>
        <v>2202</v>
      </c>
      <c r="K22" s="5">
        <f t="shared" si="13"/>
        <v>2201</v>
      </c>
      <c r="L22" s="5">
        <f t="shared" si="13"/>
        <v>2200</v>
      </c>
      <c r="M22" s="5">
        <f t="shared" si="13"/>
        <v>2199</v>
      </c>
      <c r="N22" s="5">
        <f t="shared" si="13"/>
        <v>2198</v>
      </c>
      <c r="O22" s="5">
        <f t="shared" si="13"/>
        <v>2197</v>
      </c>
      <c r="P22" s="5">
        <f t="shared" si="13"/>
        <v>2196</v>
      </c>
      <c r="Q22" s="5">
        <f t="shared" si="13"/>
        <v>2195</v>
      </c>
      <c r="R22" s="5">
        <f t="shared" si="13"/>
        <v>2194</v>
      </c>
      <c r="S22" s="5">
        <f t="array" ref="S22">D21+1</f>
        <v>2193</v>
      </c>
      <c r="T22" s="4">
        <f t="shared" si="2"/>
        <v>1208</v>
      </c>
      <c r="U22" s="4">
        <f t="shared" si="2"/>
        <v>1207</v>
      </c>
      <c r="V22" s="4">
        <f t="shared" si="2"/>
        <v>1206</v>
      </c>
      <c r="W22" s="4">
        <f t="shared" si="2"/>
        <v>1205</v>
      </c>
      <c r="X22" s="4">
        <f t="shared" si="2"/>
        <v>1204</v>
      </c>
      <c r="Y22" s="4">
        <f t="shared" si="2"/>
        <v>1203</v>
      </c>
      <c r="Z22" s="4">
        <f t="shared" si="2"/>
        <v>1202</v>
      </c>
      <c r="AA22" s="4">
        <f t="shared" si="2"/>
        <v>1201</v>
      </c>
      <c r="AB22" s="4">
        <f t="shared" si="2"/>
        <v>1200</v>
      </c>
      <c r="AC22" s="4">
        <f t="shared" si="2"/>
        <v>1199</v>
      </c>
      <c r="AD22" s="4">
        <f t="shared" si="2"/>
        <v>1198</v>
      </c>
      <c r="AE22" s="4">
        <f t="shared" si="2"/>
        <v>1197</v>
      </c>
      <c r="AF22" s="4">
        <f t="shared" si="2"/>
        <v>1196</v>
      </c>
      <c r="AG22" s="4">
        <f t="shared" si="2"/>
        <v>1195</v>
      </c>
      <c r="AH22" s="4">
        <f t="shared" si="2"/>
        <v>1194</v>
      </c>
      <c r="AI22" s="4">
        <f t="shared" si="3"/>
        <v>1193</v>
      </c>
      <c r="AJ22" s="11" t="s">
        <v>9</v>
      </c>
      <c r="AQ22" s="2"/>
      <c r="AR22" s="3">
        <v>14</v>
      </c>
      <c r="AS22" s="22" t="str" cm="1">
        <f t="array" aca="1" ref="AS22" ca="1">INDIRECT(AS$5&amp;$AR22+8)</f>
        <v>Border</v>
      </c>
      <c r="AT22" s="23" t="str" cm="1">
        <f t="array" aca="1" ref="AT22" ca="1">INDIRECT(AT$5&amp;$AR22+8)</f>
        <v>Border</v>
      </c>
      <c r="AU22" s="8" t="str" cm="1">
        <f t="array" aca="1" ref="AU22" ca="1">INDIRECT(AU$5&amp;$AR22+8)&amp;"-"&amp;1</f>
        <v>2208-1</v>
      </c>
      <c r="AV22" s="9" t="str" cm="1">
        <f t="array" aca="1" ref="AV22" ca="1">INDIRECT(AV$5&amp;$AR22+8)&amp;"-"&amp;2</f>
        <v>2208-2</v>
      </c>
      <c r="AW22" s="8" t="str" cm="1">
        <f t="array" aca="1" ref="AW22" ca="1">INDIRECT(AW$5&amp;$AR22+8)&amp;"-"&amp;1</f>
        <v>2207-1</v>
      </c>
      <c r="AX22" s="9" t="str" cm="1">
        <f t="array" aca="1" ref="AX22" ca="1">INDIRECT(AX$5&amp;$AR22+8)&amp;"-"&amp;2</f>
        <v>2207-2</v>
      </c>
      <c r="AY22" s="8" t="str" cm="1">
        <f t="array" aca="1" ref="AY22" ca="1">INDIRECT(AY$5&amp;$AR22+8)&amp;"-"&amp;1</f>
        <v>2206-1</v>
      </c>
      <c r="AZ22" s="9" t="str" cm="1">
        <f t="array" aca="1" ref="AZ22" ca="1">INDIRECT(AZ$5&amp;$AR22+8)&amp;"-"&amp;2</f>
        <v>2206-2</v>
      </c>
      <c r="BA22" s="8" t="str" cm="1">
        <f t="array" aca="1" ref="BA22" ca="1">INDIRECT(BA$5&amp;$AR22+8)&amp;"-"&amp;1</f>
        <v>2205-1</v>
      </c>
      <c r="BB22" s="9" t="str" cm="1">
        <f t="array" aca="1" ref="BB22" ca="1">INDIRECT(BB$5&amp;$AR22+8)&amp;"-"&amp;2</f>
        <v>2205-2</v>
      </c>
      <c r="BC22" s="8" t="str" cm="1">
        <f t="array" aca="1" ref="BC22" ca="1">INDIRECT(BC$5&amp;$AR22+8)&amp;"-"&amp;1</f>
        <v>2204-1</v>
      </c>
      <c r="BD22" s="9" t="str" cm="1">
        <f t="array" aca="1" ref="BD22" ca="1">INDIRECT(BD$5&amp;$AR22+8)&amp;"-"&amp;2</f>
        <v>2204-2</v>
      </c>
      <c r="BE22" s="8" t="str" cm="1">
        <f t="array" aca="1" ref="BE22" ca="1">INDIRECT(BE$5&amp;$AR22+8)&amp;"-"&amp;1</f>
        <v>2203-1</v>
      </c>
      <c r="BF22" s="9" t="str" cm="1">
        <f t="array" aca="1" ref="BF22" ca="1">INDIRECT(BF$5&amp;$AR22+8)&amp;"-"&amp;2</f>
        <v>2203-2</v>
      </c>
      <c r="BG22" s="8" t="str" cm="1">
        <f t="array" aca="1" ref="BG22" ca="1">INDIRECT(BG$5&amp;$AR22+8)&amp;"-"&amp;1</f>
        <v>2202-1</v>
      </c>
      <c r="BH22" s="9" t="str" cm="1">
        <f t="array" aca="1" ref="BH22" ca="1">INDIRECT(BH$5&amp;$AR22+8)&amp;"-"&amp;2</f>
        <v>2202-2</v>
      </c>
      <c r="BI22" s="8" t="str" cm="1">
        <f t="array" aca="1" ref="BI22" ca="1">INDIRECT(BI$5&amp;$AR22+8)&amp;"-"&amp;1</f>
        <v>2201-1</v>
      </c>
      <c r="BJ22" s="9" t="str" cm="1">
        <f t="array" aca="1" ref="BJ22" ca="1">INDIRECT(BJ$5&amp;$AR22+8)&amp;"-"&amp;2</f>
        <v>2201-2</v>
      </c>
      <c r="BK22" s="8" t="str" cm="1">
        <f t="array" aca="1" ref="BK22" ca="1">INDIRECT(BK$5&amp;$AR22+8)&amp;"-"&amp;1</f>
        <v>2200-1</v>
      </c>
      <c r="BL22" s="9" t="str" cm="1">
        <f t="array" aca="1" ref="BL22" ca="1">INDIRECT(BL$5&amp;$AR22+8)&amp;"-"&amp;2</f>
        <v>2200-2</v>
      </c>
      <c r="BM22" s="8" t="str" cm="1">
        <f t="array" aca="1" ref="BM22" ca="1">INDIRECT(BM$5&amp;$AR22+8)&amp;"-"&amp;1</f>
        <v>2199-1</v>
      </c>
      <c r="BN22" s="9" t="str" cm="1">
        <f t="array" aca="1" ref="BN22" ca="1">INDIRECT(BN$5&amp;$AR22+8)&amp;"-"&amp;2</f>
        <v>2199-2</v>
      </c>
      <c r="BO22" s="8" t="str" cm="1">
        <f t="array" aca="1" ref="BO22" ca="1">INDIRECT(BO$5&amp;$AR22+8)&amp;"-"&amp;1</f>
        <v>2198-1</v>
      </c>
      <c r="BP22" s="9" t="str" cm="1">
        <f t="array" aca="1" ref="BP22" ca="1">INDIRECT(BP$5&amp;$AR22+8)&amp;"-"&amp;2</f>
        <v>2198-2</v>
      </c>
      <c r="BQ22" s="8" t="str" cm="1">
        <f t="array" aca="1" ref="BQ22" ca="1">INDIRECT(BQ$5&amp;$AR22+8)&amp;"-"&amp;1</f>
        <v>2197-1</v>
      </c>
      <c r="BR22" s="9" t="str" cm="1">
        <f t="array" aca="1" ref="BR22" ca="1">INDIRECT(BR$5&amp;$AR22+8)&amp;"-"&amp;2</f>
        <v>2197-2</v>
      </c>
      <c r="BS22" s="8" t="str" cm="1">
        <f t="array" aca="1" ref="BS22" ca="1">INDIRECT(BS$5&amp;$AR22+8)&amp;"-"&amp;1</f>
        <v>2196-1</v>
      </c>
      <c r="BT22" s="9" t="str" cm="1">
        <f t="array" aca="1" ref="BT22" ca="1">INDIRECT(BT$5&amp;$AR22+8)&amp;"-"&amp;2</f>
        <v>2196-2</v>
      </c>
      <c r="BU22" s="8" t="str" cm="1">
        <f t="array" aca="1" ref="BU22" ca="1">INDIRECT(BU$5&amp;$AR22+8)&amp;"-"&amp;1</f>
        <v>2195-1</v>
      </c>
      <c r="BV22" s="9" t="str" cm="1">
        <f t="array" aca="1" ref="BV22" ca="1">INDIRECT(BV$5&amp;$AR22+8)&amp;"-"&amp;2</f>
        <v>2195-2</v>
      </c>
      <c r="BW22" s="8" t="str" cm="1">
        <f t="array" aca="1" ref="BW22" ca="1">INDIRECT(BW$5&amp;$AR22+8)&amp;"-"&amp;1</f>
        <v>2194-1</v>
      </c>
      <c r="BX22" s="9" t="str" cm="1">
        <f t="array" aca="1" ref="BX22" ca="1">INDIRECT(BX$5&amp;$AR22+8)&amp;"-"&amp;2</f>
        <v>2194-2</v>
      </c>
      <c r="BY22" s="8" t="str" cm="1">
        <f t="array" aca="1" ref="BY22" ca="1">INDIRECT(BY$5&amp;$AR22+8)&amp;"-"&amp;1</f>
        <v>2193-1</v>
      </c>
      <c r="BZ22" s="9" t="str" cm="1">
        <f t="array" aca="1" ref="BZ22" ca="1">INDIRECT(BZ$5&amp;$AR22+8)&amp;"-"&amp;2</f>
        <v>2193-2</v>
      </c>
      <c r="CA22" s="6" t="str" cm="1">
        <f t="array" aca="1" ref="CA22" ca="1">INDIRECT(CA$5&amp;$AR22+8)&amp;"-"&amp;1</f>
        <v>1208-1</v>
      </c>
      <c r="CB22" s="7" t="str" cm="1">
        <f t="array" aca="1" ref="CB22" ca="1">INDIRECT(CB$5&amp;$AR22+8)&amp;"-"&amp;2</f>
        <v>1208-2</v>
      </c>
      <c r="CC22" s="6" t="str" cm="1">
        <f t="array" aca="1" ref="CC22" ca="1">INDIRECT(CC$5&amp;$AR22+8)&amp;"-"&amp;1</f>
        <v>1207-1</v>
      </c>
      <c r="CD22" s="7" t="str" cm="1">
        <f t="array" aca="1" ref="CD22" ca="1">INDIRECT(CD$5&amp;$AR22+8)&amp;"-"&amp;2</f>
        <v>1207-2</v>
      </c>
      <c r="CE22" s="6" t="str" cm="1">
        <f t="array" aca="1" ref="CE22" ca="1">INDIRECT(CE$5&amp;$AR22+8)&amp;"-"&amp;1</f>
        <v>1206-1</v>
      </c>
      <c r="CF22" s="7" t="str" cm="1">
        <f t="array" aca="1" ref="CF22" ca="1">INDIRECT(CF$5&amp;$AR22+8)&amp;"-"&amp;2</f>
        <v>1206-2</v>
      </c>
      <c r="CG22" s="6" t="str" cm="1">
        <f t="array" aca="1" ref="CG22" ca="1">INDIRECT(CG$5&amp;$AR22+8)&amp;"-"&amp;1</f>
        <v>1205-1</v>
      </c>
      <c r="CH22" s="7" t="str" cm="1">
        <f t="array" aca="1" ref="CH22" ca="1">INDIRECT(CH$5&amp;$AR22+8)&amp;"-"&amp;2</f>
        <v>1205-2</v>
      </c>
      <c r="CI22" s="6" t="str" cm="1">
        <f t="array" aca="1" ref="CI22" ca="1">INDIRECT(CI$5&amp;$AR22+8)&amp;"-"&amp;1</f>
        <v>1204-1</v>
      </c>
      <c r="CJ22" s="7" t="str" cm="1">
        <f t="array" aca="1" ref="CJ22" ca="1">INDIRECT(CJ$5&amp;$AR22+8)&amp;"-"&amp;2</f>
        <v>1204-2</v>
      </c>
      <c r="CK22" s="6" t="str" cm="1">
        <f t="array" aca="1" ref="CK22" ca="1">INDIRECT(CK$5&amp;$AR22+8)&amp;"-"&amp;1</f>
        <v>1203-1</v>
      </c>
      <c r="CL22" s="7" t="str" cm="1">
        <f t="array" aca="1" ref="CL22" ca="1">INDIRECT(CL$5&amp;$AR22+8)&amp;"-"&amp;2</f>
        <v>1203-2</v>
      </c>
      <c r="CM22" s="6" t="str" cm="1">
        <f t="array" aca="1" ref="CM22" ca="1">INDIRECT(CM$5&amp;$AR22+8)&amp;"-"&amp;1</f>
        <v>1202-1</v>
      </c>
      <c r="CN22" s="7" t="str" cm="1">
        <f t="array" aca="1" ref="CN22" ca="1">INDIRECT(CN$5&amp;$AR22+8)&amp;"-"&amp;2</f>
        <v>1202-2</v>
      </c>
      <c r="CO22" s="6" t="str" cm="1">
        <f t="array" aca="1" ref="CO22" ca="1">INDIRECT(CO$5&amp;$AR22+8)&amp;"-"&amp;1</f>
        <v>1201-1</v>
      </c>
      <c r="CP22" s="7" t="str" cm="1">
        <f t="array" aca="1" ref="CP22" ca="1">INDIRECT(CP$5&amp;$AR22+8)&amp;"-"&amp;2</f>
        <v>1201-2</v>
      </c>
      <c r="CQ22" s="6" t="str" cm="1">
        <f t="array" aca="1" ref="CQ22" ca="1">INDIRECT(CQ$5&amp;$AR22+8)&amp;"-"&amp;1</f>
        <v>1200-1</v>
      </c>
      <c r="CR22" s="7" t="str" cm="1">
        <f t="array" aca="1" ref="CR22" ca="1">INDIRECT(CR$5&amp;$AR22+8)&amp;"-"&amp;2</f>
        <v>1200-2</v>
      </c>
      <c r="CS22" s="6" t="str" cm="1">
        <f t="array" aca="1" ref="CS22" ca="1">INDIRECT(CS$5&amp;$AR22+8)&amp;"-"&amp;1</f>
        <v>1199-1</v>
      </c>
      <c r="CT22" s="7" t="str" cm="1">
        <f t="array" aca="1" ref="CT22" ca="1">INDIRECT(CT$5&amp;$AR22+8)&amp;"-"&amp;2</f>
        <v>1199-2</v>
      </c>
      <c r="CU22" s="6" t="str" cm="1">
        <f t="array" aca="1" ref="CU22" ca="1">INDIRECT(CU$5&amp;$AR22+8)&amp;"-"&amp;1</f>
        <v>1198-1</v>
      </c>
      <c r="CV22" s="7" t="str" cm="1">
        <f t="array" aca="1" ref="CV22" ca="1">INDIRECT(CV$5&amp;$AR22+8)&amp;"-"&amp;2</f>
        <v>1198-2</v>
      </c>
      <c r="CW22" s="6" t="str" cm="1">
        <f t="array" aca="1" ref="CW22" ca="1">INDIRECT(CW$5&amp;$AR22+8)&amp;"-"&amp;1</f>
        <v>1197-1</v>
      </c>
      <c r="CX22" s="7" t="str" cm="1">
        <f t="array" aca="1" ref="CX22" ca="1">INDIRECT(CX$5&amp;$AR22+8)&amp;"-"&amp;2</f>
        <v>1197-2</v>
      </c>
      <c r="CY22" s="6" t="str" cm="1">
        <f t="array" aca="1" ref="CY22" ca="1">INDIRECT(CY$5&amp;$AR22+8)&amp;"-"&amp;1</f>
        <v>1196-1</v>
      </c>
      <c r="CZ22" s="7" t="str" cm="1">
        <f t="array" aca="1" ref="CZ22" ca="1">INDIRECT(CZ$5&amp;$AR22+8)&amp;"-"&amp;2</f>
        <v>1196-2</v>
      </c>
      <c r="DA22" s="6" t="str" cm="1">
        <f t="array" aca="1" ref="DA22" ca="1">INDIRECT(DA$5&amp;$AR22+8)&amp;"-"&amp;1</f>
        <v>1195-1</v>
      </c>
      <c r="DB22" s="7" t="str" cm="1">
        <f t="array" aca="1" ref="DB22" ca="1">INDIRECT(DB$5&amp;$AR22+8)&amp;"-"&amp;2</f>
        <v>1195-2</v>
      </c>
      <c r="DC22" s="6" t="str" cm="1">
        <f t="array" aca="1" ref="DC22" ca="1">INDIRECT(DC$5&amp;$AR22+8)&amp;"-"&amp;1</f>
        <v>1194-1</v>
      </c>
      <c r="DD22" s="7" t="str" cm="1">
        <f t="array" aca="1" ref="DD22" ca="1">INDIRECT(DD$5&amp;$AR22+8)&amp;"-"&amp;2</f>
        <v>1194-2</v>
      </c>
      <c r="DE22" s="6" t="str" cm="1">
        <f t="array" aca="1" ref="DE22" ca="1">INDIRECT(DE$5&amp;$AR22+8)&amp;"-"&amp;1</f>
        <v>1193-1</v>
      </c>
      <c r="DF22" s="7" t="str" cm="1">
        <f t="array" aca="1" ref="DF22" ca="1">INDIRECT(DF$5&amp;$AR22+8)&amp;"-"&amp;2</f>
        <v>1193-2</v>
      </c>
      <c r="DG22" s="25" t="str" cm="1">
        <f t="array" aca="1" ref="DG22" ca="1">INDIRECT(DG$5&amp;$AR22+8)</f>
        <v>Border</v>
      </c>
      <c r="DH22" s="25" t="str" cm="1">
        <f t="array" aca="1" ref="DH22" ca="1">INDIRECT(DH$5&amp;$AR22+8)</f>
        <v>Border</v>
      </c>
    </row>
    <row r="23" spans="1:112" ht="40.049999999999997" customHeight="1" x14ac:dyDescent="0.45">
      <c r="A23" s="2"/>
      <c r="B23" s="3">
        <v>15</v>
      </c>
      <c r="C23" s="11" t="s">
        <v>9</v>
      </c>
      <c r="D23" s="5">
        <f t="shared" ref="D23:R23" si="14">E23+1</f>
        <v>2224</v>
      </c>
      <c r="E23" s="5">
        <f t="shared" si="14"/>
        <v>2223</v>
      </c>
      <c r="F23" s="5">
        <f t="shared" si="14"/>
        <v>2222</v>
      </c>
      <c r="G23" s="5">
        <f t="shared" si="14"/>
        <v>2221</v>
      </c>
      <c r="H23" s="5">
        <f t="shared" si="14"/>
        <v>2220</v>
      </c>
      <c r="I23" s="5">
        <f t="shared" si="14"/>
        <v>2219</v>
      </c>
      <c r="J23" s="5">
        <f t="shared" si="14"/>
        <v>2218</v>
      </c>
      <c r="K23" s="5">
        <f t="shared" si="14"/>
        <v>2217</v>
      </c>
      <c r="L23" s="5">
        <f t="shared" si="14"/>
        <v>2216</v>
      </c>
      <c r="M23" s="5">
        <f t="shared" si="14"/>
        <v>2215</v>
      </c>
      <c r="N23" s="5">
        <f t="shared" si="14"/>
        <v>2214</v>
      </c>
      <c r="O23" s="5">
        <f t="shared" si="14"/>
        <v>2213</v>
      </c>
      <c r="P23" s="5">
        <f t="shared" si="14"/>
        <v>2212</v>
      </c>
      <c r="Q23" s="5">
        <f t="shared" si="14"/>
        <v>2211</v>
      </c>
      <c r="R23" s="5">
        <f t="shared" si="14"/>
        <v>2210</v>
      </c>
      <c r="S23" s="5">
        <f t="array" ref="S23">D22+1</f>
        <v>2209</v>
      </c>
      <c r="T23" s="4">
        <f t="shared" si="2"/>
        <v>1224</v>
      </c>
      <c r="U23" s="4">
        <f t="shared" si="2"/>
        <v>1223</v>
      </c>
      <c r="V23" s="4">
        <f t="shared" si="2"/>
        <v>1222</v>
      </c>
      <c r="W23" s="4">
        <f t="shared" si="2"/>
        <v>1221</v>
      </c>
      <c r="X23" s="4">
        <f t="shared" si="2"/>
        <v>1220</v>
      </c>
      <c r="Y23" s="4">
        <f t="shared" si="2"/>
        <v>1219</v>
      </c>
      <c r="Z23" s="4">
        <f t="shared" si="2"/>
        <v>1218</v>
      </c>
      <c r="AA23" s="4">
        <f t="shared" si="2"/>
        <v>1217</v>
      </c>
      <c r="AB23" s="4">
        <f t="shared" si="2"/>
        <v>1216</v>
      </c>
      <c r="AC23" s="4">
        <f t="shared" si="2"/>
        <v>1215</v>
      </c>
      <c r="AD23" s="4">
        <f t="shared" si="2"/>
        <v>1214</v>
      </c>
      <c r="AE23" s="4">
        <f t="shared" si="2"/>
        <v>1213</v>
      </c>
      <c r="AF23" s="4">
        <f t="shared" si="2"/>
        <v>1212</v>
      </c>
      <c r="AG23" s="4">
        <f t="shared" si="2"/>
        <v>1211</v>
      </c>
      <c r="AH23" s="4">
        <f t="shared" si="2"/>
        <v>1210</v>
      </c>
      <c r="AI23" s="4">
        <f t="shared" si="3"/>
        <v>1209</v>
      </c>
      <c r="AJ23" s="11" t="s">
        <v>9</v>
      </c>
      <c r="AQ23" s="2"/>
      <c r="AR23" s="3">
        <v>15</v>
      </c>
      <c r="AS23" s="22" t="str" cm="1">
        <f t="array" aca="1" ref="AS23" ca="1">INDIRECT(AS$5&amp;$AR23+8)</f>
        <v>Border</v>
      </c>
      <c r="AT23" s="23" t="str" cm="1">
        <f t="array" aca="1" ref="AT23" ca="1">INDIRECT(AT$5&amp;$AR23+8)</f>
        <v>Border</v>
      </c>
      <c r="AU23" s="8" t="str" cm="1">
        <f t="array" aca="1" ref="AU23" ca="1">INDIRECT(AU$5&amp;$AR23+8)&amp;"-"&amp;1</f>
        <v>2224-1</v>
      </c>
      <c r="AV23" s="9" t="str" cm="1">
        <f t="array" aca="1" ref="AV23" ca="1">INDIRECT(AV$5&amp;$AR23+8)&amp;"-"&amp;2</f>
        <v>2224-2</v>
      </c>
      <c r="AW23" s="8" t="str" cm="1">
        <f t="array" aca="1" ref="AW23" ca="1">INDIRECT(AW$5&amp;$AR23+8)&amp;"-"&amp;1</f>
        <v>2223-1</v>
      </c>
      <c r="AX23" s="9" t="str" cm="1">
        <f t="array" aca="1" ref="AX23" ca="1">INDIRECT(AX$5&amp;$AR23+8)&amp;"-"&amp;2</f>
        <v>2223-2</v>
      </c>
      <c r="AY23" s="8" t="str" cm="1">
        <f t="array" aca="1" ref="AY23" ca="1">INDIRECT(AY$5&amp;$AR23+8)&amp;"-"&amp;1</f>
        <v>2222-1</v>
      </c>
      <c r="AZ23" s="9" t="str" cm="1">
        <f t="array" aca="1" ref="AZ23" ca="1">INDIRECT(AZ$5&amp;$AR23+8)&amp;"-"&amp;2</f>
        <v>2222-2</v>
      </c>
      <c r="BA23" s="8" t="str" cm="1">
        <f t="array" aca="1" ref="BA23" ca="1">INDIRECT(BA$5&amp;$AR23+8)&amp;"-"&amp;1</f>
        <v>2221-1</v>
      </c>
      <c r="BB23" s="9" t="str" cm="1">
        <f t="array" aca="1" ref="BB23" ca="1">INDIRECT(BB$5&amp;$AR23+8)&amp;"-"&amp;2</f>
        <v>2221-2</v>
      </c>
      <c r="BC23" s="8" t="str" cm="1">
        <f t="array" aca="1" ref="BC23" ca="1">INDIRECT(BC$5&amp;$AR23+8)&amp;"-"&amp;1</f>
        <v>2220-1</v>
      </c>
      <c r="BD23" s="9" t="str" cm="1">
        <f t="array" aca="1" ref="BD23" ca="1">INDIRECT(BD$5&amp;$AR23+8)&amp;"-"&amp;2</f>
        <v>2220-2</v>
      </c>
      <c r="BE23" s="8" t="str" cm="1">
        <f t="array" aca="1" ref="BE23" ca="1">INDIRECT(BE$5&amp;$AR23+8)&amp;"-"&amp;1</f>
        <v>2219-1</v>
      </c>
      <c r="BF23" s="9" t="str" cm="1">
        <f t="array" aca="1" ref="BF23" ca="1">INDIRECT(BF$5&amp;$AR23+8)&amp;"-"&amp;2</f>
        <v>2219-2</v>
      </c>
      <c r="BG23" s="8" t="str" cm="1">
        <f t="array" aca="1" ref="BG23" ca="1">INDIRECT(BG$5&amp;$AR23+8)&amp;"-"&amp;1</f>
        <v>2218-1</v>
      </c>
      <c r="BH23" s="9" t="str" cm="1">
        <f t="array" aca="1" ref="BH23" ca="1">INDIRECT(BH$5&amp;$AR23+8)&amp;"-"&amp;2</f>
        <v>2218-2</v>
      </c>
      <c r="BI23" s="8" t="str" cm="1">
        <f t="array" aca="1" ref="BI23" ca="1">INDIRECT(BI$5&amp;$AR23+8)&amp;"-"&amp;1</f>
        <v>2217-1</v>
      </c>
      <c r="BJ23" s="9" t="str" cm="1">
        <f t="array" aca="1" ref="BJ23" ca="1">INDIRECT(BJ$5&amp;$AR23+8)&amp;"-"&amp;2</f>
        <v>2217-2</v>
      </c>
      <c r="BK23" s="8" t="str" cm="1">
        <f t="array" aca="1" ref="BK23" ca="1">INDIRECT(BK$5&amp;$AR23+8)&amp;"-"&amp;1</f>
        <v>2216-1</v>
      </c>
      <c r="BL23" s="9" t="str" cm="1">
        <f t="array" aca="1" ref="BL23" ca="1">INDIRECT(BL$5&amp;$AR23+8)&amp;"-"&amp;2</f>
        <v>2216-2</v>
      </c>
      <c r="BM23" s="8" t="str" cm="1">
        <f t="array" aca="1" ref="BM23" ca="1">INDIRECT(BM$5&amp;$AR23+8)&amp;"-"&amp;1</f>
        <v>2215-1</v>
      </c>
      <c r="BN23" s="9" t="str" cm="1">
        <f t="array" aca="1" ref="BN23" ca="1">INDIRECT(BN$5&amp;$AR23+8)&amp;"-"&amp;2</f>
        <v>2215-2</v>
      </c>
      <c r="BO23" s="8" t="str" cm="1">
        <f t="array" aca="1" ref="BO23" ca="1">INDIRECT(BO$5&amp;$AR23+8)&amp;"-"&amp;1</f>
        <v>2214-1</v>
      </c>
      <c r="BP23" s="9" t="str" cm="1">
        <f t="array" aca="1" ref="BP23" ca="1">INDIRECT(BP$5&amp;$AR23+8)&amp;"-"&amp;2</f>
        <v>2214-2</v>
      </c>
      <c r="BQ23" s="8" t="str" cm="1">
        <f t="array" aca="1" ref="BQ23" ca="1">INDIRECT(BQ$5&amp;$AR23+8)&amp;"-"&amp;1</f>
        <v>2213-1</v>
      </c>
      <c r="BR23" s="9" t="str" cm="1">
        <f t="array" aca="1" ref="BR23" ca="1">INDIRECT(BR$5&amp;$AR23+8)&amp;"-"&amp;2</f>
        <v>2213-2</v>
      </c>
      <c r="BS23" s="8" t="str" cm="1">
        <f t="array" aca="1" ref="BS23" ca="1">INDIRECT(BS$5&amp;$AR23+8)&amp;"-"&amp;1</f>
        <v>2212-1</v>
      </c>
      <c r="BT23" s="9" t="str" cm="1">
        <f t="array" aca="1" ref="BT23" ca="1">INDIRECT(BT$5&amp;$AR23+8)&amp;"-"&amp;2</f>
        <v>2212-2</v>
      </c>
      <c r="BU23" s="8" t="str" cm="1">
        <f t="array" aca="1" ref="BU23" ca="1">INDIRECT(BU$5&amp;$AR23+8)&amp;"-"&amp;1</f>
        <v>2211-1</v>
      </c>
      <c r="BV23" s="9" t="str" cm="1">
        <f t="array" aca="1" ref="BV23" ca="1">INDIRECT(BV$5&amp;$AR23+8)&amp;"-"&amp;2</f>
        <v>2211-2</v>
      </c>
      <c r="BW23" s="8" t="str" cm="1">
        <f t="array" aca="1" ref="BW23" ca="1">INDIRECT(BW$5&amp;$AR23+8)&amp;"-"&amp;1</f>
        <v>2210-1</v>
      </c>
      <c r="BX23" s="9" t="str" cm="1">
        <f t="array" aca="1" ref="BX23" ca="1">INDIRECT(BX$5&amp;$AR23+8)&amp;"-"&amp;2</f>
        <v>2210-2</v>
      </c>
      <c r="BY23" s="8" t="str" cm="1">
        <f t="array" aca="1" ref="BY23" ca="1">INDIRECT(BY$5&amp;$AR23+8)&amp;"-"&amp;1</f>
        <v>2209-1</v>
      </c>
      <c r="BZ23" s="9" t="str" cm="1">
        <f t="array" aca="1" ref="BZ23" ca="1">INDIRECT(BZ$5&amp;$AR23+8)&amp;"-"&amp;2</f>
        <v>2209-2</v>
      </c>
      <c r="CA23" s="6" t="str" cm="1">
        <f t="array" aca="1" ref="CA23" ca="1">INDIRECT(CA$5&amp;$AR23+8)&amp;"-"&amp;1</f>
        <v>1224-1</v>
      </c>
      <c r="CB23" s="7" t="str" cm="1">
        <f t="array" aca="1" ref="CB23" ca="1">INDIRECT(CB$5&amp;$AR23+8)&amp;"-"&amp;2</f>
        <v>1224-2</v>
      </c>
      <c r="CC23" s="6" t="str" cm="1">
        <f t="array" aca="1" ref="CC23" ca="1">INDIRECT(CC$5&amp;$AR23+8)&amp;"-"&amp;1</f>
        <v>1223-1</v>
      </c>
      <c r="CD23" s="7" t="str" cm="1">
        <f t="array" aca="1" ref="CD23" ca="1">INDIRECT(CD$5&amp;$AR23+8)&amp;"-"&amp;2</f>
        <v>1223-2</v>
      </c>
      <c r="CE23" s="6" t="str" cm="1">
        <f t="array" aca="1" ref="CE23" ca="1">INDIRECT(CE$5&amp;$AR23+8)&amp;"-"&amp;1</f>
        <v>1222-1</v>
      </c>
      <c r="CF23" s="7" t="str" cm="1">
        <f t="array" aca="1" ref="CF23" ca="1">INDIRECT(CF$5&amp;$AR23+8)&amp;"-"&amp;2</f>
        <v>1222-2</v>
      </c>
      <c r="CG23" s="6" t="str" cm="1">
        <f t="array" aca="1" ref="CG23" ca="1">INDIRECT(CG$5&amp;$AR23+8)&amp;"-"&amp;1</f>
        <v>1221-1</v>
      </c>
      <c r="CH23" s="7" t="str" cm="1">
        <f t="array" aca="1" ref="CH23" ca="1">INDIRECT(CH$5&amp;$AR23+8)&amp;"-"&amp;2</f>
        <v>1221-2</v>
      </c>
      <c r="CI23" s="6" t="str" cm="1">
        <f t="array" aca="1" ref="CI23" ca="1">INDIRECT(CI$5&amp;$AR23+8)&amp;"-"&amp;1</f>
        <v>1220-1</v>
      </c>
      <c r="CJ23" s="7" t="str" cm="1">
        <f t="array" aca="1" ref="CJ23" ca="1">INDIRECT(CJ$5&amp;$AR23+8)&amp;"-"&amp;2</f>
        <v>1220-2</v>
      </c>
      <c r="CK23" s="6" t="str" cm="1">
        <f t="array" aca="1" ref="CK23" ca="1">INDIRECT(CK$5&amp;$AR23+8)&amp;"-"&amp;1</f>
        <v>1219-1</v>
      </c>
      <c r="CL23" s="7" t="str" cm="1">
        <f t="array" aca="1" ref="CL23" ca="1">INDIRECT(CL$5&amp;$AR23+8)&amp;"-"&amp;2</f>
        <v>1219-2</v>
      </c>
      <c r="CM23" s="6" t="str" cm="1">
        <f t="array" aca="1" ref="CM23" ca="1">INDIRECT(CM$5&amp;$AR23+8)&amp;"-"&amp;1</f>
        <v>1218-1</v>
      </c>
      <c r="CN23" s="7" t="str" cm="1">
        <f t="array" aca="1" ref="CN23" ca="1">INDIRECT(CN$5&amp;$AR23+8)&amp;"-"&amp;2</f>
        <v>1218-2</v>
      </c>
      <c r="CO23" s="6" t="str" cm="1">
        <f t="array" aca="1" ref="CO23" ca="1">INDIRECT(CO$5&amp;$AR23+8)&amp;"-"&amp;1</f>
        <v>1217-1</v>
      </c>
      <c r="CP23" s="7" t="str" cm="1">
        <f t="array" aca="1" ref="CP23" ca="1">INDIRECT(CP$5&amp;$AR23+8)&amp;"-"&amp;2</f>
        <v>1217-2</v>
      </c>
      <c r="CQ23" s="6" t="str" cm="1">
        <f t="array" aca="1" ref="CQ23" ca="1">INDIRECT(CQ$5&amp;$AR23+8)&amp;"-"&amp;1</f>
        <v>1216-1</v>
      </c>
      <c r="CR23" s="7" t="str" cm="1">
        <f t="array" aca="1" ref="CR23" ca="1">INDIRECT(CR$5&amp;$AR23+8)&amp;"-"&amp;2</f>
        <v>1216-2</v>
      </c>
      <c r="CS23" s="6" t="str" cm="1">
        <f t="array" aca="1" ref="CS23" ca="1">INDIRECT(CS$5&amp;$AR23+8)&amp;"-"&amp;1</f>
        <v>1215-1</v>
      </c>
      <c r="CT23" s="7" t="str" cm="1">
        <f t="array" aca="1" ref="CT23" ca="1">INDIRECT(CT$5&amp;$AR23+8)&amp;"-"&amp;2</f>
        <v>1215-2</v>
      </c>
      <c r="CU23" s="6" t="str" cm="1">
        <f t="array" aca="1" ref="CU23" ca="1">INDIRECT(CU$5&amp;$AR23+8)&amp;"-"&amp;1</f>
        <v>1214-1</v>
      </c>
      <c r="CV23" s="7" t="str" cm="1">
        <f t="array" aca="1" ref="CV23" ca="1">INDIRECT(CV$5&amp;$AR23+8)&amp;"-"&amp;2</f>
        <v>1214-2</v>
      </c>
      <c r="CW23" s="6" t="str" cm="1">
        <f t="array" aca="1" ref="CW23" ca="1">INDIRECT(CW$5&amp;$AR23+8)&amp;"-"&amp;1</f>
        <v>1213-1</v>
      </c>
      <c r="CX23" s="7" t="str" cm="1">
        <f t="array" aca="1" ref="CX23" ca="1">INDIRECT(CX$5&amp;$AR23+8)&amp;"-"&amp;2</f>
        <v>1213-2</v>
      </c>
      <c r="CY23" s="6" t="str" cm="1">
        <f t="array" aca="1" ref="CY23" ca="1">INDIRECT(CY$5&amp;$AR23+8)&amp;"-"&amp;1</f>
        <v>1212-1</v>
      </c>
      <c r="CZ23" s="7" t="str" cm="1">
        <f t="array" aca="1" ref="CZ23" ca="1">INDIRECT(CZ$5&amp;$AR23+8)&amp;"-"&amp;2</f>
        <v>1212-2</v>
      </c>
      <c r="DA23" s="6" t="str" cm="1">
        <f t="array" aca="1" ref="DA23" ca="1">INDIRECT(DA$5&amp;$AR23+8)&amp;"-"&amp;1</f>
        <v>1211-1</v>
      </c>
      <c r="DB23" s="7" t="str" cm="1">
        <f t="array" aca="1" ref="DB23" ca="1">INDIRECT(DB$5&amp;$AR23+8)&amp;"-"&amp;2</f>
        <v>1211-2</v>
      </c>
      <c r="DC23" s="6" t="str" cm="1">
        <f t="array" aca="1" ref="DC23" ca="1">INDIRECT(DC$5&amp;$AR23+8)&amp;"-"&amp;1</f>
        <v>1210-1</v>
      </c>
      <c r="DD23" s="7" t="str" cm="1">
        <f t="array" aca="1" ref="DD23" ca="1">INDIRECT(DD$5&amp;$AR23+8)&amp;"-"&amp;2</f>
        <v>1210-2</v>
      </c>
      <c r="DE23" s="6" t="str" cm="1">
        <f t="array" aca="1" ref="DE23" ca="1">INDIRECT(DE$5&amp;$AR23+8)&amp;"-"&amp;1</f>
        <v>1209-1</v>
      </c>
      <c r="DF23" s="7" t="str" cm="1">
        <f t="array" aca="1" ref="DF23" ca="1">INDIRECT(DF$5&amp;$AR23+8)&amp;"-"&amp;2</f>
        <v>1209-2</v>
      </c>
      <c r="DG23" s="25" t="str" cm="1">
        <f t="array" aca="1" ref="DG23" ca="1">INDIRECT(DG$5&amp;$AR23+8)</f>
        <v>Border</v>
      </c>
      <c r="DH23" s="25" t="str" cm="1">
        <f t="array" aca="1" ref="DH23" ca="1">INDIRECT(DH$5&amp;$AR23+8)</f>
        <v>Border</v>
      </c>
    </row>
    <row r="24" spans="1:112" ht="40.049999999999997" customHeight="1" x14ac:dyDescent="0.45">
      <c r="A24" s="2"/>
      <c r="B24" s="3">
        <v>16</v>
      </c>
      <c r="C24" s="11" t="s">
        <v>9</v>
      </c>
      <c r="D24" s="5">
        <f t="shared" ref="D24:R24" si="15">E24+1</f>
        <v>2240</v>
      </c>
      <c r="E24" s="5">
        <f t="shared" si="15"/>
        <v>2239</v>
      </c>
      <c r="F24" s="5">
        <f t="shared" si="15"/>
        <v>2238</v>
      </c>
      <c r="G24" s="5">
        <f t="shared" si="15"/>
        <v>2237</v>
      </c>
      <c r="H24" s="5">
        <f t="shared" si="15"/>
        <v>2236</v>
      </c>
      <c r="I24" s="5">
        <f t="shared" si="15"/>
        <v>2235</v>
      </c>
      <c r="J24" s="5">
        <f t="shared" si="15"/>
        <v>2234</v>
      </c>
      <c r="K24" s="5">
        <f t="shared" si="15"/>
        <v>2233</v>
      </c>
      <c r="L24" s="5">
        <f t="shared" si="15"/>
        <v>2232</v>
      </c>
      <c r="M24" s="5">
        <f t="shared" si="15"/>
        <v>2231</v>
      </c>
      <c r="N24" s="5">
        <f t="shared" si="15"/>
        <v>2230</v>
      </c>
      <c r="O24" s="5">
        <f t="shared" si="15"/>
        <v>2229</v>
      </c>
      <c r="P24" s="5">
        <f t="shared" si="15"/>
        <v>2228</v>
      </c>
      <c r="Q24" s="5">
        <f t="shared" si="15"/>
        <v>2227</v>
      </c>
      <c r="R24" s="5">
        <f t="shared" si="15"/>
        <v>2226</v>
      </c>
      <c r="S24" s="5">
        <f t="array" ref="S24">D23+1</f>
        <v>2225</v>
      </c>
      <c r="T24" s="4">
        <f t="shared" si="2"/>
        <v>1240</v>
      </c>
      <c r="U24" s="4">
        <f t="shared" si="2"/>
        <v>1239</v>
      </c>
      <c r="V24" s="4">
        <f t="shared" si="2"/>
        <v>1238</v>
      </c>
      <c r="W24" s="4">
        <f t="shared" si="2"/>
        <v>1237</v>
      </c>
      <c r="X24" s="4">
        <f t="shared" si="2"/>
        <v>1236</v>
      </c>
      <c r="Y24" s="4">
        <f t="shared" si="2"/>
        <v>1235</v>
      </c>
      <c r="Z24" s="4">
        <f t="shared" si="2"/>
        <v>1234</v>
      </c>
      <c r="AA24" s="4">
        <f t="shared" si="2"/>
        <v>1233</v>
      </c>
      <c r="AB24" s="4">
        <f t="shared" si="2"/>
        <v>1232</v>
      </c>
      <c r="AC24" s="4">
        <f t="shared" si="2"/>
        <v>1231</v>
      </c>
      <c r="AD24" s="4">
        <f t="shared" si="2"/>
        <v>1230</v>
      </c>
      <c r="AE24" s="4">
        <f t="shared" si="2"/>
        <v>1229</v>
      </c>
      <c r="AF24" s="4">
        <f t="shared" si="2"/>
        <v>1228</v>
      </c>
      <c r="AG24" s="4">
        <f t="shared" si="2"/>
        <v>1227</v>
      </c>
      <c r="AH24" s="4">
        <f t="shared" si="2"/>
        <v>1226</v>
      </c>
      <c r="AI24" s="4">
        <f t="shared" si="3"/>
        <v>1225</v>
      </c>
      <c r="AJ24" s="11" t="s">
        <v>9</v>
      </c>
      <c r="AQ24" s="2"/>
      <c r="AR24" s="3">
        <v>16</v>
      </c>
      <c r="AS24" s="22" t="str" cm="1">
        <f t="array" aca="1" ref="AS24" ca="1">INDIRECT(AS$5&amp;$AR24+8)</f>
        <v>Border</v>
      </c>
      <c r="AT24" s="23" t="str" cm="1">
        <f t="array" aca="1" ref="AT24" ca="1">INDIRECT(AT$5&amp;$AR24+8)</f>
        <v>Border</v>
      </c>
      <c r="AU24" s="8" t="str" cm="1">
        <f t="array" aca="1" ref="AU24" ca="1">INDIRECT(AU$5&amp;$AR24+8)&amp;"-"&amp;1</f>
        <v>2240-1</v>
      </c>
      <c r="AV24" s="9" t="str" cm="1">
        <f t="array" aca="1" ref="AV24" ca="1">INDIRECT(AV$5&amp;$AR24+8)&amp;"-"&amp;2</f>
        <v>2240-2</v>
      </c>
      <c r="AW24" s="8" t="str" cm="1">
        <f t="array" aca="1" ref="AW24" ca="1">INDIRECT(AW$5&amp;$AR24+8)&amp;"-"&amp;1</f>
        <v>2239-1</v>
      </c>
      <c r="AX24" s="9" t="str" cm="1">
        <f t="array" aca="1" ref="AX24" ca="1">INDIRECT(AX$5&amp;$AR24+8)&amp;"-"&amp;2</f>
        <v>2239-2</v>
      </c>
      <c r="AY24" s="8" t="str" cm="1">
        <f t="array" aca="1" ref="AY24" ca="1">INDIRECT(AY$5&amp;$AR24+8)&amp;"-"&amp;1</f>
        <v>2238-1</v>
      </c>
      <c r="AZ24" s="9" t="str" cm="1">
        <f t="array" aca="1" ref="AZ24" ca="1">INDIRECT(AZ$5&amp;$AR24+8)&amp;"-"&amp;2</f>
        <v>2238-2</v>
      </c>
      <c r="BA24" s="8" t="str" cm="1">
        <f t="array" aca="1" ref="BA24" ca="1">INDIRECT(BA$5&amp;$AR24+8)&amp;"-"&amp;1</f>
        <v>2237-1</v>
      </c>
      <c r="BB24" s="9" t="str" cm="1">
        <f t="array" aca="1" ref="BB24" ca="1">INDIRECT(BB$5&amp;$AR24+8)&amp;"-"&amp;2</f>
        <v>2237-2</v>
      </c>
      <c r="BC24" s="8" t="str" cm="1">
        <f t="array" aca="1" ref="BC24" ca="1">INDIRECT(BC$5&amp;$AR24+8)&amp;"-"&amp;1</f>
        <v>2236-1</v>
      </c>
      <c r="BD24" s="9" t="str" cm="1">
        <f t="array" aca="1" ref="BD24" ca="1">INDIRECT(BD$5&amp;$AR24+8)&amp;"-"&amp;2</f>
        <v>2236-2</v>
      </c>
      <c r="BE24" s="8" t="str" cm="1">
        <f t="array" aca="1" ref="BE24" ca="1">INDIRECT(BE$5&amp;$AR24+8)&amp;"-"&amp;1</f>
        <v>2235-1</v>
      </c>
      <c r="BF24" s="9" t="str" cm="1">
        <f t="array" aca="1" ref="BF24" ca="1">INDIRECT(BF$5&amp;$AR24+8)&amp;"-"&amp;2</f>
        <v>2235-2</v>
      </c>
      <c r="BG24" s="8" t="str" cm="1">
        <f t="array" aca="1" ref="BG24" ca="1">INDIRECT(BG$5&amp;$AR24+8)&amp;"-"&amp;1</f>
        <v>2234-1</v>
      </c>
      <c r="BH24" s="9" t="str" cm="1">
        <f t="array" aca="1" ref="BH24" ca="1">INDIRECT(BH$5&amp;$AR24+8)&amp;"-"&amp;2</f>
        <v>2234-2</v>
      </c>
      <c r="BI24" s="8" t="str" cm="1">
        <f t="array" aca="1" ref="BI24" ca="1">INDIRECT(BI$5&amp;$AR24+8)&amp;"-"&amp;1</f>
        <v>2233-1</v>
      </c>
      <c r="BJ24" s="9" t="str" cm="1">
        <f t="array" aca="1" ref="BJ24" ca="1">INDIRECT(BJ$5&amp;$AR24+8)&amp;"-"&amp;2</f>
        <v>2233-2</v>
      </c>
      <c r="BK24" s="8" t="str" cm="1">
        <f t="array" aca="1" ref="BK24" ca="1">INDIRECT(BK$5&amp;$AR24+8)&amp;"-"&amp;1</f>
        <v>2232-1</v>
      </c>
      <c r="BL24" s="9" t="str" cm="1">
        <f t="array" aca="1" ref="BL24" ca="1">INDIRECT(BL$5&amp;$AR24+8)&amp;"-"&amp;2</f>
        <v>2232-2</v>
      </c>
      <c r="BM24" s="8" t="str" cm="1">
        <f t="array" aca="1" ref="BM24" ca="1">INDIRECT(BM$5&amp;$AR24+8)&amp;"-"&amp;1</f>
        <v>2231-1</v>
      </c>
      <c r="BN24" s="9" t="str" cm="1">
        <f t="array" aca="1" ref="BN24" ca="1">INDIRECT(BN$5&amp;$AR24+8)&amp;"-"&amp;2</f>
        <v>2231-2</v>
      </c>
      <c r="BO24" s="8" t="str" cm="1">
        <f t="array" aca="1" ref="BO24" ca="1">INDIRECT(BO$5&amp;$AR24+8)&amp;"-"&amp;1</f>
        <v>2230-1</v>
      </c>
      <c r="BP24" s="9" t="str" cm="1">
        <f t="array" aca="1" ref="BP24" ca="1">INDIRECT(BP$5&amp;$AR24+8)&amp;"-"&amp;2</f>
        <v>2230-2</v>
      </c>
      <c r="BQ24" s="8" t="str" cm="1">
        <f t="array" aca="1" ref="BQ24" ca="1">INDIRECT(BQ$5&amp;$AR24+8)&amp;"-"&amp;1</f>
        <v>2229-1</v>
      </c>
      <c r="BR24" s="9" t="str" cm="1">
        <f t="array" aca="1" ref="BR24" ca="1">INDIRECT(BR$5&amp;$AR24+8)&amp;"-"&amp;2</f>
        <v>2229-2</v>
      </c>
      <c r="BS24" s="8" t="str" cm="1">
        <f t="array" aca="1" ref="BS24" ca="1">INDIRECT(BS$5&amp;$AR24+8)&amp;"-"&amp;1</f>
        <v>2228-1</v>
      </c>
      <c r="BT24" s="9" t="str" cm="1">
        <f t="array" aca="1" ref="BT24" ca="1">INDIRECT(BT$5&amp;$AR24+8)&amp;"-"&amp;2</f>
        <v>2228-2</v>
      </c>
      <c r="BU24" s="8" t="str" cm="1">
        <f t="array" aca="1" ref="BU24" ca="1">INDIRECT(BU$5&amp;$AR24+8)&amp;"-"&amp;1</f>
        <v>2227-1</v>
      </c>
      <c r="BV24" s="9" t="str" cm="1">
        <f t="array" aca="1" ref="BV24" ca="1">INDIRECT(BV$5&amp;$AR24+8)&amp;"-"&amp;2</f>
        <v>2227-2</v>
      </c>
      <c r="BW24" s="8" t="str" cm="1">
        <f t="array" aca="1" ref="BW24" ca="1">INDIRECT(BW$5&amp;$AR24+8)&amp;"-"&amp;1</f>
        <v>2226-1</v>
      </c>
      <c r="BX24" s="9" t="str" cm="1">
        <f t="array" aca="1" ref="BX24" ca="1">INDIRECT(BX$5&amp;$AR24+8)&amp;"-"&amp;2</f>
        <v>2226-2</v>
      </c>
      <c r="BY24" s="8" t="str" cm="1">
        <f t="array" aca="1" ref="BY24" ca="1">INDIRECT(BY$5&amp;$AR24+8)&amp;"-"&amp;1</f>
        <v>2225-1</v>
      </c>
      <c r="BZ24" s="9" t="str" cm="1">
        <f t="array" aca="1" ref="BZ24" ca="1">INDIRECT(BZ$5&amp;$AR24+8)&amp;"-"&amp;2</f>
        <v>2225-2</v>
      </c>
      <c r="CA24" s="6" t="str" cm="1">
        <f t="array" aca="1" ref="CA24" ca="1">INDIRECT(CA$5&amp;$AR24+8)&amp;"-"&amp;1</f>
        <v>1240-1</v>
      </c>
      <c r="CB24" s="7" t="str" cm="1">
        <f t="array" aca="1" ref="CB24" ca="1">INDIRECT(CB$5&amp;$AR24+8)&amp;"-"&amp;2</f>
        <v>1240-2</v>
      </c>
      <c r="CC24" s="6" t="str" cm="1">
        <f t="array" aca="1" ref="CC24" ca="1">INDIRECT(CC$5&amp;$AR24+8)&amp;"-"&amp;1</f>
        <v>1239-1</v>
      </c>
      <c r="CD24" s="7" t="str" cm="1">
        <f t="array" aca="1" ref="CD24" ca="1">INDIRECT(CD$5&amp;$AR24+8)&amp;"-"&amp;2</f>
        <v>1239-2</v>
      </c>
      <c r="CE24" s="6" t="str" cm="1">
        <f t="array" aca="1" ref="CE24" ca="1">INDIRECT(CE$5&amp;$AR24+8)&amp;"-"&amp;1</f>
        <v>1238-1</v>
      </c>
      <c r="CF24" s="7" t="str" cm="1">
        <f t="array" aca="1" ref="CF24" ca="1">INDIRECT(CF$5&amp;$AR24+8)&amp;"-"&amp;2</f>
        <v>1238-2</v>
      </c>
      <c r="CG24" s="6" t="str" cm="1">
        <f t="array" aca="1" ref="CG24" ca="1">INDIRECT(CG$5&amp;$AR24+8)&amp;"-"&amp;1</f>
        <v>1237-1</v>
      </c>
      <c r="CH24" s="7" t="str" cm="1">
        <f t="array" aca="1" ref="CH24" ca="1">INDIRECT(CH$5&amp;$AR24+8)&amp;"-"&amp;2</f>
        <v>1237-2</v>
      </c>
      <c r="CI24" s="6" t="str" cm="1">
        <f t="array" aca="1" ref="CI24" ca="1">INDIRECT(CI$5&amp;$AR24+8)&amp;"-"&amp;1</f>
        <v>1236-1</v>
      </c>
      <c r="CJ24" s="7" t="str" cm="1">
        <f t="array" aca="1" ref="CJ24" ca="1">INDIRECT(CJ$5&amp;$AR24+8)&amp;"-"&amp;2</f>
        <v>1236-2</v>
      </c>
      <c r="CK24" s="6" t="str" cm="1">
        <f t="array" aca="1" ref="CK24" ca="1">INDIRECT(CK$5&amp;$AR24+8)&amp;"-"&amp;1</f>
        <v>1235-1</v>
      </c>
      <c r="CL24" s="7" t="str" cm="1">
        <f t="array" aca="1" ref="CL24" ca="1">INDIRECT(CL$5&amp;$AR24+8)&amp;"-"&amp;2</f>
        <v>1235-2</v>
      </c>
      <c r="CM24" s="6" t="str" cm="1">
        <f t="array" aca="1" ref="CM24" ca="1">INDIRECT(CM$5&amp;$AR24+8)&amp;"-"&amp;1</f>
        <v>1234-1</v>
      </c>
      <c r="CN24" s="7" t="str" cm="1">
        <f t="array" aca="1" ref="CN24" ca="1">INDIRECT(CN$5&amp;$AR24+8)&amp;"-"&amp;2</f>
        <v>1234-2</v>
      </c>
      <c r="CO24" s="6" t="str" cm="1">
        <f t="array" aca="1" ref="CO24" ca="1">INDIRECT(CO$5&amp;$AR24+8)&amp;"-"&amp;1</f>
        <v>1233-1</v>
      </c>
      <c r="CP24" s="7" t="str" cm="1">
        <f t="array" aca="1" ref="CP24" ca="1">INDIRECT(CP$5&amp;$AR24+8)&amp;"-"&amp;2</f>
        <v>1233-2</v>
      </c>
      <c r="CQ24" s="6" t="str" cm="1">
        <f t="array" aca="1" ref="CQ24" ca="1">INDIRECT(CQ$5&amp;$AR24+8)&amp;"-"&amp;1</f>
        <v>1232-1</v>
      </c>
      <c r="CR24" s="7" t="str" cm="1">
        <f t="array" aca="1" ref="CR24" ca="1">INDIRECT(CR$5&amp;$AR24+8)&amp;"-"&amp;2</f>
        <v>1232-2</v>
      </c>
      <c r="CS24" s="6" t="str" cm="1">
        <f t="array" aca="1" ref="CS24" ca="1">INDIRECT(CS$5&amp;$AR24+8)&amp;"-"&amp;1</f>
        <v>1231-1</v>
      </c>
      <c r="CT24" s="7" t="str" cm="1">
        <f t="array" aca="1" ref="CT24" ca="1">INDIRECT(CT$5&amp;$AR24+8)&amp;"-"&amp;2</f>
        <v>1231-2</v>
      </c>
      <c r="CU24" s="6" t="str" cm="1">
        <f t="array" aca="1" ref="CU24" ca="1">INDIRECT(CU$5&amp;$AR24+8)&amp;"-"&amp;1</f>
        <v>1230-1</v>
      </c>
      <c r="CV24" s="7" t="str" cm="1">
        <f t="array" aca="1" ref="CV24" ca="1">INDIRECT(CV$5&amp;$AR24+8)&amp;"-"&amp;2</f>
        <v>1230-2</v>
      </c>
      <c r="CW24" s="6" t="str" cm="1">
        <f t="array" aca="1" ref="CW24" ca="1">INDIRECT(CW$5&amp;$AR24+8)&amp;"-"&amp;1</f>
        <v>1229-1</v>
      </c>
      <c r="CX24" s="7" t="str" cm="1">
        <f t="array" aca="1" ref="CX24" ca="1">INDIRECT(CX$5&amp;$AR24+8)&amp;"-"&amp;2</f>
        <v>1229-2</v>
      </c>
      <c r="CY24" s="6" t="str" cm="1">
        <f t="array" aca="1" ref="CY24" ca="1">INDIRECT(CY$5&amp;$AR24+8)&amp;"-"&amp;1</f>
        <v>1228-1</v>
      </c>
      <c r="CZ24" s="7" t="str" cm="1">
        <f t="array" aca="1" ref="CZ24" ca="1">INDIRECT(CZ$5&amp;$AR24+8)&amp;"-"&amp;2</f>
        <v>1228-2</v>
      </c>
      <c r="DA24" s="6" t="str" cm="1">
        <f t="array" aca="1" ref="DA24" ca="1">INDIRECT(DA$5&amp;$AR24+8)&amp;"-"&amp;1</f>
        <v>1227-1</v>
      </c>
      <c r="DB24" s="7" t="str" cm="1">
        <f t="array" aca="1" ref="DB24" ca="1">INDIRECT(DB$5&amp;$AR24+8)&amp;"-"&amp;2</f>
        <v>1227-2</v>
      </c>
      <c r="DC24" s="6" t="str" cm="1">
        <f t="array" aca="1" ref="DC24" ca="1">INDIRECT(DC$5&amp;$AR24+8)&amp;"-"&amp;1</f>
        <v>1226-1</v>
      </c>
      <c r="DD24" s="7" t="str" cm="1">
        <f t="array" aca="1" ref="DD24" ca="1">INDIRECT(DD$5&amp;$AR24+8)&amp;"-"&amp;2</f>
        <v>1226-2</v>
      </c>
      <c r="DE24" s="6" t="str" cm="1">
        <f t="array" aca="1" ref="DE24" ca="1">INDIRECT(DE$5&amp;$AR24+8)&amp;"-"&amp;1</f>
        <v>1225-1</v>
      </c>
      <c r="DF24" s="7" t="str" cm="1">
        <f t="array" aca="1" ref="DF24" ca="1">INDIRECT(DF$5&amp;$AR24+8)&amp;"-"&amp;2</f>
        <v>1225-2</v>
      </c>
      <c r="DG24" s="25" t="str" cm="1">
        <f t="array" aca="1" ref="DG24" ca="1">INDIRECT(DG$5&amp;$AR24+8)</f>
        <v>Border</v>
      </c>
      <c r="DH24" s="25" t="str" cm="1">
        <f t="array" aca="1" ref="DH24" ca="1">INDIRECT(DH$5&amp;$AR24+8)</f>
        <v>Border</v>
      </c>
    </row>
    <row r="25" spans="1:112" ht="40.049999999999997" customHeight="1" x14ac:dyDescent="0.45">
      <c r="A25" s="2"/>
      <c r="B25" s="3">
        <v>17</v>
      </c>
      <c r="C25" s="11" t="s">
        <v>9</v>
      </c>
      <c r="D25" s="5">
        <f t="shared" ref="D25:R25" si="16">E25+1</f>
        <v>2256</v>
      </c>
      <c r="E25" s="5">
        <f t="shared" si="16"/>
        <v>2255</v>
      </c>
      <c r="F25" s="5">
        <f t="shared" si="16"/>
        <v>2254</v>
      </c>
      <c r="G25" s="5">
        <f t="shared" si="16"/>
        <v>2253</v>
      </c>
      <c r="H25" s="5">
        <f t="shared" si="16"/>
        <v>2252</v>
      </c>
      <c r="I25" s="5">
        <f t="shared" si="16"/>
        <v>2251</v>
      </c>
      <c r="J25" s="5">
        <f t="shared" si="16"/>
        <v>2250</v>
      </c>
      <c r="K25" s="5">
        <f t="shared" si="16"/>
        <v>2249</v>
      </c>
      <c r="L25" s="5">
        <f t="shared" si="16"/>
        <v>2248</v>
      </c>
      <c r="M25" s="5">
        <f t="shared" si="16"/>
        <v>2247</v>
      </c>
      <c r="N25" s="5">
        <f t="shared" si="16"/>
        <v>2246</v>
      </c>
      <c r="O25" s="5">
        <f t="shared" si="16"/>
        <v>2245</v>
      </c>
      <c r="P25" s="5">
        <f t="shared" si="16"/>
        <v>2244</v>
      </c>
      <c r="Q25" s="5">
        <f t="shared" si="16"/>
        <v>2243</v>
      </c>
      <c r="R25" s="5">
        <f t="shared" si="16"/>
        <v>2242</v>
      </c>
      <c r="S25" s="5">
        <f t="array" ref="S25">D24+1</f>
        <v>2241</v>
      </c>
      <c r="T25" s="4">
        <f t="shared" si="2"/>
        <v>1256</v>
      </c>
      <c r="U25" s="4">
        <f t="shared" si="2"/>
        <v>1255</v>
      </c>
      <c r="V25" s="4">
        <f t="shared" si="2"/>
        <v>1254</v>
      </c>
      <c r="W25" s="4">
        <f t="shared" si="2"/>
        <v>1253</v>
      </c>
      <c r="X25" s="4">
        <f t="shared" si="2"/>
        <v>1252</v>
      </c>
      <c r="Y25" s="4">
        <f t="shared" si="2"/>
        <v>1251</v>
      </c>
      <c r="Z25" s="4">
        <f t="shared" si="2"/>
        <v>1250</v>
      </c>
      <c r="AA25" s="4">
        <f t="shared" si="2"/>
        <v>1249</v>
      </c>
      <c r="AB25" s="4">
        <f t="shared" si="2"/>
        <v>1248</v>
      </c>
      <c r="AC25" s="4">
        <f t="shared" si="2"/>
        <v>1247</v>
      </c>
      <c r="AD25" s="4">
        <f t="shared" si="2"/>
        <v>1246</v>
      </c>
      <c r="AE25" s="4">
        <f t="shared" si="2"/>
        <v>1245</v>
      </c>
      <c r="AF25" s="4">
        <f t="shared" si="2"/>
        <v>1244</v>
      </c>
      <c r="AG25" s="4">
        <f t="shared" si="2"/>
        <v>1243</v>
      </c>
      <c r="AH25" s="4">
        <f t="shared" si="2"/>
        <v>1242</v>
      </c>
      <c r="AI25" s="4">
        <f t="shared" si="3"/>
        <v>1241</v>
      </c>
      <c r="AJ25" s="11" t="s">
        <v>9</v>
      </c>
      <c r="AQ25" s="2"/>
      <c r="AR25" s="3">
        <v>17</v>
      </c>
      <c r="AS25" s="22" t="str" cm="1">
        <f t="array" aca="1" ref="AS25" ca="1">INDIRECT(AS$5&amp;$AR25+8)</f>
        <v>Border</v>
      </c>
      <c r="AT25" s="23" t="str" cm="1">
        <f t="array" aca="1" ref="AT25" ca="1">INDIRECT(AT$5&amp;$AR25+8)</f>
        <v>Border</v>
      </c>
      <c r="AU25" s="8" t="str" cm="1">
        <f t="array" aca="1" ref="AU25" ca="1">INDIRECT(AU$5&amp;$AR25+8)&amp;"-"&amp;1</f>
        <v>2256-1</v>
      </c>
      <c r="AV25" s="9" t="str" cm="1">
        <f t="array" aca="1" ref="AV25" ca="1">INDIRECT(AV$5&amp;$AR25+8)&amp;"-"&amp;2</f>
        <v>2256-2</v>
      </c>
      <c r="AW25" s="8" t="str" cm="1">
        <f t="array" aca="1" ref="AW25" ca="1">INDIRECT(AW$5&amp;$AR25+8)&amp;"-"&amp;1</f>
        <v>2255-1</v>
      </c>
      <c r="AX25" s="9" t="str" cm="1">
        <f t="array" aca="1" ref="AX25" ca="1">INDIRECT(AX$5&amp;$AR25+8)&amp;"-"&amp;2</f>
        <v>2255-2</v>
      </c>
      <c r="AY25" s="8" t="str" cm="1">
        <f t="array" aca="1" ref="AY25" ca="1">INDIRECT(AY$5&amp;$AR25+8)&amp;"-"&amp;1</f>
        <v>2254-1</v>
      </c>
      <c r="AZ25" s="9" t="str" cm="1">
        <f t="array" aca="1" ref="AZ25" ca="1">INDIRECT(AZ$5&amp;$AR25+8)&amp;"-"&amp;2</f>
        <v>2254-2</v>
      </c>
      <c r="BA25" s="8" t="str" cm="1">
        <f t="array" aca="1" ref="BA25" ca="1">INDIRECT(BA$5&amp;$AR25+8)&amp;"-"&amp;1</f>
        <v>2253-1</v>
      </c>
      <c r="BB25" s="9" t="str" cm="1">
        <f t="array" aca="1" ref="BB25" ca="1">INDIRECT(BB$5&amp;$AR25+8)&amp;"-"&amp;2</f>
        <v>2253-2</v>
      </c>
      <c r="BC25" s="8" t="str" cm="1">
        <f t="array" aca="1" ref="BC25" ca="1">INDIRECT(BC$5&amp;$AR25+8)&amp;"-"&amp;1</f>
        <v>2252-1</v>
      </c>
      <c r="BD25" s="9" t="str" cm="1">
        <f t="array" aca="1" ref="BD25" ca="1">INDIRECT(BD$5&amp;$AR25+8)&amp;"-"&amp;2</f>
        <v>2252-2</v>
      </c>
      <c r="BE25" s="8" t="str" cm="1">
        <f t="array" aca="1" ref="BE25" ca="1">INDIRECT(BE$5&amp;$AR25+8)&amp;"-"&amp;1</f>
        <v>2251-1</v>
      </c>
      <c r="BF25" s="9" t="str" cm="1">
        <f t="array" aca="1" ref="BF25" ca="1">INDIRECT(BF$5&amp;$AR25+8)&amp;"-"&amp;2</f>
        <v>2251-2</v>
      </c>
      <c r="BG25" s="8" t="str" cm="1">
        <f t="array" aca="1" ref="BG25" ca="1">INDIRECT(BG$5&amp;$AR25+8)&amp;"-"&amp;1</f>
        <v>2250-1</v>
      </c>
      <c r="BH25" s="9" t="str" cm="1">
        <f t="array" aca="1" ref="BH25" ca="1">INDIRECT(BH$5&amp;$AR25+8)&amp;"-"&amp;2</f>
        <v>2250-2</v>
      </c>
      <c r="BI25" s="8" t="str" cm="1">
        <f t="array" aca="1" ref="BI25" ca="1">INDIRECT(BI$5&amp;$AR25+8)&amp;"-"&amp;1</f>
        <v>2249-1</v>
      </c>
      <c r="BJ25" s="9" t="str" cm="1">
        <f t="array" aca="1" ref="BJ25" ca="1">INDIRECT(BJ$5&amp;$AR25+8)&amp;"-"&amp;2</f>
        <v>2249-2</v>
      </c>
      <c r="BK25" s="8" t="str" cm="1">
        <f t="array" aca="1" ref="BK25" ca="1">INDIRECT(BK$5&amp;$AR25+8)&amp;"-"&amp;1</f>
        <v>2248-1</v>
      </c>
      <c r="BL25" s="9" t="str" cm="1">
        <f t="array" aca="1" ref="BL25" ca="1">INDIRECT(BL$5&amp;$AR25+8)&amp;"-"&amp;2</f>
        <v>2248-2</v>
      </c>
      <c r="BM25" s="8" t="str" cm="1">
        <f t="array" aca="1" ref="BM25" ca="1">INDIRECT(BM$5&amp;$AR25+8)&amp;"-"&amp;1</f>
        <v>2247-1</v>
      </c>
      <c r="BN25" s="9" t="str" cm="1">
        <f t="array" aca="1" ref="BN25" ca="1">INDIRECT(BN$5&amp;$AR25+8)&amp;"-"&amp;2</f>
        <v>2247-2</v>
      </c>
      <c r="BO25" s="8" t="str" cm="1">
        <f t="array" aca="1" ref="BO25" ca="1">INDIRECT(BO$5&amp;$AR25+8)&amp;"-"&amp;1</f>
        <v>2246-1</v>
      </c>
      <c r="BP25" s="9" t="str" cm="1">
        <f t="array" aca="1" ref="BP25" ca="1">INDIRECT(BP$5&amp;$AR25+8)&amp;"-"&amp;2</f>
        <v>2246-2</v>
      </c>
      <c r="BQ25" s="8" t="str" cm="1">
        <f t="array" aca="1" ref="BQ25" ca="1">INDIRECT(BQ$5&amp;$AR25+8)&amp;"-"&amp;1</f>
        <v>2245-1</v>
      </c>
      <c r="BR25" s="9" t="str" cm="1">
        <f t="array" aca="1" ref="BR25" ca="1">INDIRECT(BR$5&amp;$AR25+8)&amp;"-"&amp;2</f>
        <v>2245-2</v>
      </c>
      <c r="BS25" s="8" t="str" cm="1">
        <f t="array" aca="1" ref="BS25" ca="1">INDIRECT(BS$5&amp;$AR25+8)&amp;"-"&amp;1</f>
        <v>2244-1</v>
      </c>
      <c r="BT25" s="9" t="str" cm="1">
        <f t="array" aca="1" ref="BT25" ca="1">INDIRECT(BT$5&amp;$AR25+8)&amp;"-"&amp;2</f>
        <v>2244-2</v>
      </c>
      <c r="BU25" s="8" t="str" cm="1">
        <f t="array" aca="1" ref="BU25" ca="1">INDIRECT(BU$5&amp;$AR25+8)&amp;"-"&amp;1</f>
        <v>2243-1</v>
      </c>
      <c r="BV25" s="9" t="str" cm="1">
        <f t="array" aca="1" ref="BV25" ca="1">INDIRECT(BV$5&amp;$AR25+8)&amp;"-"&amp;2</f>
        <v>2243-2</v>
      </c>
      <c r="BW25" s="8" t="str" cm="1">
        <f t="array" aca="1" ref="BW25" ca="1">INDIRECT(BW$5&amp;$AR25+8)&amp;"-"&amp;1</f>
        <v>2242-1</v>
      </c>
      <c r="BX25" s="9" t="str" cm="1">
        <f t="array" aca="1" ref="BX25" ca="1">INDIRECT(BX$5&amp;$AR25+8)&amp;"-"&amp;2</f>
        <v>2242-2</v>
      </c>
      <c r="BY25" s="8" t="str" cm="1">
        <f t="array" aca="1" ref="BY25" ca="1">INDIRECT(BY$5&amp;$AR25+8)&amp;"-"&amp;1</f>
        <v>2241-1</v>
      </c>
      <c r="BZ25" s="9" t="str" cm="1">
        <f t="array" aca="1" ref="BZ25" ca="1">INDIRECT(BZ$5&amp;$AR25+8)&amp;"-"&amp;2</f>
        <v>2241-2</v>
      </c>
      <c r="CA25" s="6" t="str" cm="1">
        <f t="array" aca="1" ref="CA25" ca="1">INDIRECT(CA$5&amp;$AR25+8)&amp;"-"&amp;1</f>
        <v>1256-1</v>
      </c>
      <c r="CB25" s="7" t="str" cm="1">
        <f t="array" aca="1" ref="CB25" ca="1">INDIRECT(CB$5&amp;$AR25+8)&amp;"-"&amp;2</f>
        <v>1256-2</v>
      </c>
      <c r="CC25" s="6" t="str" cm="1">
        <f t="array" aca="1" ref="CC25" ca="1">INDIRECT(CC$5&amp;$AR25+8)&amp;"-"&amp;1</f>
        <v>1255-1</v>
      </c>
      <c r="CD25" s="7" t="str" cm="1">
        <f t="array" aca="1" ref="CD25" ca="1">INDIRECT(CD$5&amp;$AR25+8)&amp;"-"&amp;2</f>
        <v>1255-2</v>
      </c>
      <c r="CE25" s="6" t="str" cm="1">
        <f t="array" aca="1" ref="CE25" ca="1">INDIRECT(CE$5&amp;$AR25+8)&amp;"-"&amp;1</f>
        <v>1254-1</v>
      </c>
      <c r="CF25" s="7" t="str" cm="1">
        <f t="array" aca="1" ref="CF25" ca="1">INDIRECT(CF$5&amp;$AR25+8)&amp;"-"&amp;2</f>
        <v>1254-2</v>
      </c>
      <c r="CG25" s="6" t="str" cm="1">
        <f t="array" aca="1" ref="CG25" ca="1">INDIRECT(CG$5&amp;$AR25+8)&amp;"-"&amp;1</f>
        <v>1253-1</v>
      </c>
      <c r="CH25" s="7" t="str" cm="1">
        <f t="array" aca="1" ref="CH25" ca="1">INDIRECT(CH$5&amp;$AR25+8)&amp;"-"&amp;2</f>
        <v>1253-2</v>
      </c>
      <c r="CI25" s="6" t="str" cm="1">
        <f t="array" aca="1" ref="CI25" ca="1">INDIRECT(CI$5&amp;$AR25+8)&amp;"-"&amp;1</f>
        <v>1252-1</v>
      </c>
      <c r="CJ25" s="7" t="str" cm="1">
        <f t="array" aca="1" ref="CJ25" ca="1">INDIRECT(CJ$5&amp;$AR25+8)&amp;"-"&amp;2</f>
        <v>1252-2</v>
      </c>
      <c r="CK25" s="6" t="str" cm="1">
        <f t="array" aca="1" ref="CK25" ca="1">INDIRECT(CK$5&amp;$AR25+8)&amp;"-"&amp;1</f>
        <v>1251-1</v>
      </c>
      <c r="CL25" s="7" t="str" cm="1">
        <f t="array" aca="1" ref="CL25" ca="1">INDIRECT(CL$5&amp;$AR25+8)&amp;"-"&amp;2</f>
        <v>1251-2</v>
      </c>
      <c r="CM25" s="6" t="str" cm="1">
        <f t="array" aca="1" ref="CM25" ca="1">INDIRECT(CM$5&amp;$AR25+8)&amp;"-"&amp;1</f>
        <v>1250-1</v>
      </c>
      <c r="CN25" s="7" t="str" cm="1">
        <f t="array" aca="1" ref="CN25" ca="1">INDIRECT(CN$5&amp;$AR25+8)&amp;"-"&amp;2</f>
        <v>1250-2</v>
      </c>
      <c r="CO25" s="6" t="str" cm="1">
        <f t="array" aca="1" ref="CO25" ca="1">INDIRECT(CO$5&amp;$AR25+8)&amp;"-"&amp;1</f>
        <v>1249-1</v>
      </c>
      <c r="CP25" s="7" t="str" cm="1">
        <f t="array" aca="1" ref="CP25" ca="1">INDIRECT(CP$5&amp;$AR25+8)&amp;"-"&amp;2</f>
        <v>1249-2</v>
      </c>
      <c r="CQ25" s="6" t="str" cm="1">
        <f t="array" aca="1" ref="CQ25" ca="1">INDIRECT(CQ$5&amp;$AR25+8)&amp;"-"&amp;1</f>
        <v>1248-1</v>
      </c>
      <c r="CR25" s="7" t="str" cm="1">
        <f t="array" aca="1" ref="CR25" ca="1">INDIRECT(CR$5&amp;$AR25+8)&amp;"-"&amp;2</f>
        <v>1248-2</v>
      </c>
      <c r="CS25" s="6" t="str" cm="1">
        <f t="array" aca="1" ref="CS25" ca="1">INDIRECT(CS$5&amp;$AR25+8)&amp;"-"&amp;1</f>
        <v>1247-1</v>
      </c>
      <c r="CT25" s="7" t="str" cm="1">
        <f t="array" aca="1" ref="CT25" ca="1">INDIRECT(CT$5&amp;$AR25+8)&amp;"-"&amp;2</f>
        <v>1247-2</v>
      </c>
      <c r="CU25" s="6" t="str" cm="1">
        <f t="array" aca="1" ref="CU25" ca="1">INDIRECT(CU$5&amp;$AR25+8)&amp;"-"&amp;1</f>
        <v>1246-1</v>
      </c>
      <c r="CV25" s="7" t="str" cm="1">
        <f t="array" aca="1" ref="CV25" ca="1">INDIRECT(CV$5&amp;$AR25+8)&amp;"-"&amp;2</f>
        <v>1246-2</v>
      </c>
      <c r="CW25" s="6" t="str" cm="1">
        <f t="array" aca="1" ref="CW25" ca="1">INDIRECT(CW$5&amp;$AR25+8)&amp;"-"&amp;1</f>
        <v>1245-1</v>
      </c>
      <c r="CX25" s="7" t="str" cm="1">
        <f t="array" aca="1" ref="CX25" ca="1">INDIRECT(CX$5&amp;$AR25+8)&amp;"-"&amp;2</f>
        <v>1245-2</v>
      </c>
      <c r="CY25" s="6" t="str" cm="1">
        <f t="array" aca="1" ref="CY25" ca="1">INDIRECT(CY$5&amp;$AR25+8)&amp;"-"&amp;1</f>
        <v>1244-1</v>
      </c>
      <c r="CZ25" s="7" t="str" cm="1">
        <f t="array" aca="1" ref="CZ25" ca="1">INDIRECT(CZ$5&amp;$AR25+8)&amp;"-"&amp;2</f>
        <v>1244-2</v>
      </c>
      <c r="DA25" s="6" t="str" cm="1">
        <f t="array" aca="1" ref="DA25" ca="1">INDIRECT(DA$5&amp;$AR25+8)&amp;"-"&amp;1</f>
        <v>1243-1</v>
      </c>
      <c r="DB25" s="7" t="str" cm="1">
        <f t="array" aca="1" ref="DB25" ca="1">INDIRECT(DB$5&amp;$AR25+8)&amp;"-"&amp;2</f>
        <v>1243-2</v>
      </c>
      <c r="DC25" s="6" t="str" cm="1">
        <f t="array" aca="1" ref="DC25" ca="1">INDIRECT(DC$5&amp;$AR25+8)&amp;"-"&amp;1</f>
        <v>1242-1</v>
      </c>
      <c r="DD25" s="7" t="str" cm="1">
        <f t="array" aca="1" ref="DD25" ca="1">INDIRECT(DD$5&amp;$AR25+8)&amp;"-"&amp;2</f>
        <v>1242-2</v>
      </c>
      <c r="DE25" s="6" t="str" cm="1">
        <f t="array" aca="1" ref="DE25" ca="1">INDIRECT(DE$5&amp;$AR25+8)&amp;"-"&amp;1</f>
        <v>1241-1</v>
      </c>
      <c r="DF25" s="7" t="str" cm="1">
        <f t="array" aca="1" ref="DF25" ca="1">INDIRECT(DF$5&amp;$AR25+8)&amp;"-"&amp;2</f>
        <v>1241-2</v>
      </c>
      <c r="DG25" s="25" t="str" cm="1">
        <f t="array" aca="1" ref="DG25" ca="1">INDIRECT(DG$5&amp;$AR25+8)</f>
        <v>Border</v>
      </c>
      <c r="DH25" s="25" t="str" cm="1">
        <f t="array" aca="1" ref="DH25" ca="1">INDIRECT(DH$5&amp;$AR25+8)</f>
        <v>Border</v>
      </c>
    </row>
    <row r="26" spans="1:112" ht="40.049999999999997" customHeight="1" x14ac:dyDescent="0.45">
      <c r="A26" s="2"/>
      <c r="B26" s="3">
        <v>18</v>
      </c>
      <c r="C26" s="11" t="s">
        <v>9</v>
      </c>
      <c r="D26" s="5">
        <f t="shared" ref="D26:R26" si="17">E26+1</f>
        <v>2272</v>
      </c>
      <c r="E26" s="5">
        <f t="shared" si="17"/>
        <v>2271</v>
      </c>
      <c r="F26" s="5">
        <f t="shared" si="17"/>
        <v>2270</v>
      </c>
      <c r="G26" s="5">
        <f t="shared" si="17"/>
        <v>2269</v>
      </c>
      <c r="H26" s="5">
        <f t="shared" si="17"/>
        <v>2268</v>
      </c>
      <c r="I26" s="5">
        <f t="shared" si="17"/>
        <v>2267</v>
      </c>
      <c r="J26" s="5">
        <f t="shared" si="17"/>
        <v>2266</v>
      </c>
      <c r="K26" s="5">
        <f t="shared" si="17"/>
        <v>2265</v>
      </c>
      <c r="L26" s="5">
        <f t="shared" si="17"/>
        <v>2264</v>
      </c>
      <c r="M26" s="5">
        <f t="shared" si="17"/>
        <v>2263</v>
      </c>
      <c r="N26" s="5">
        <f t="shared" si="17"/>
        <v>2262</v>
      </c>
      <c r="O26" s="5">
        <f t="shared" si="17"/>
        <v>2261</v>
      </c>
      <c r="P26" s="5">
        <f t="shared" si="17"/>
        <v>2260</v>
      </c>
      <c r="Q26" s="5">
        <f t="shared" si="17"/>
        <v>2259</v>
      </c>
      <c r="R26" s="5">
        <f t="shared" si="17"/>
        <v>2258</v>
      </c>
      <c r="S26" s="5">
        <f t="array" ref="S26">D25+1</f>
        <v>2257</v>
      </c>
      <c r="T26" s="4">
        <f t="shared" si="2"/>
        <v>1272</v>
      </c>
      <c r="U26" s="4">
        <f t="shared" si="2"/>
        <v>1271</v>
      </c>
      <c r="V26" s="4">
        <f t="shared" si="2"/>
        <v>1270</v>
      </c>
      <c r="W26" s="4">
        <f t="shared" si="2"/>
        <v>1269</v>
      </c>
      <c r="X26" s="4">
        <f t="shared" si="2"/>
        <v>1268</v>
      </c>
      <c r="Y26" s="4">
        <f t="shared" si="2"/>
        <v>1267</v>
      </c>
      <c r="Z26" s="4">
        <f t="shared" si="2"/>
        <v>1266</v>
      </c>
      <c r="AA26" s="4">
        <f t="shared" si="2"/>
        <v>1265</v>
      </c>
      <c r="AB26" s="4">
        <f t="shared" si="2"/>
        <v>1264</v>
      </c>
      <c r="AC26" s="4">
        <f t="shared" si="2"/>
        <v>1263</v>
      </c>
      <c r="AD26" s="4">
        <f t="shared" si="2"/>
        <v>1262</v>
      </c>
      <c r="AE26" s="4">
        <f t="shared" si="2"/>
        <v>1261</v>
      </c>
      <c r="AF26" s="4">
        <f t="shared" si="2"/>
        <v>1260</v>
      </c>
      <c r="AG26" s="4">
        <f t="shared" si="2"/>
        <v>1259</v>
      </c>
      <c r="AH26" s="4">
        <f t="shared" si="2"/>
        <v>1258</v>
      </c>
      <c r="AI26" s="4">
        <f t="shared" si="3"/>
        <v>1257</v>
      </c>
      <c r="AJ26" s="11" t="s">
        <v>9</v>
      </c>
      <c r="AQ26" s="2"/>
      <c r="AR26" s="3">
        <v>18</v>
      </c>
      <c r="AS26" s="22" t="str" cm="1">
        <f t="array" aca="1" ref="AS26" ca="1">INDIRECT(AS$5&amp;$AR26+8)</f>
        <v>Border</v>
      </c>
      <c r="AT26" s="23" t="str" cm="1">
        <f t="array" aca="1" ref="AT26" ca="1">INDIRECT(AT$5&amp;$AR26+8)</f>
        <v>Border</v>
      </c>
      <c r="AU26" s="8" t="str" cm="1">
        <f t="array" aca="1" ref="AU26" ca="1">INDIRECT(AU$5&amp;$AR26+8)&amp;"-"&amp;1</f>
        <v>2272-1</v>
      </c>
      <c r="AV26" s="9" t="str" cm="1">
        <f t="array" aca="1" ref="AV26" ca="1">INDIRECT(AV$5&amp;$AR26+8)&amp;"-"&amp;2</f>
        <v>2272-2</v>
      </c>
      <c r="AW26" s="8" t="str" cm="1">
        <f t="array" aca="1" ref="AW26" ca="1">INDIRECT(AW$5&amp;$AR26+8)&amp;"-"&amp;1</f>
        <v>2271-1</v>
      </c>
      <c r="AX26" s="9" t="str" cm="1">
        <f t="array" aca="1" ref="AX26" ca="1">INDIRECT(AX$5&amp;$AR26+8)&amp;"-"&amp;2</f>
        <v>2271-2</v>
      </c>
      <c r="AY26" s="8" t="str" cm="1">
        <f t="array" aca="1" ref="AY26" ca="1">INDIRECT(AY$5&amp;$AR26+8)&amp;"-"&amp;1</f>
        <v>2270-1</v>
      </c>
      <c r="AZ26" s="9" t="str" cm="1">
        <f t="array" aca="1" ref="AZ26" ca="1">INDIRECT(AZ$5&amp;$AR26+8)&amp;"-"&amp;2</f>
        <v>2270-2</v>
      </c>
      <c r="BA26" s="8" t="str" cm="1">
        <f t="array" aca="1" ref="BA26" ca="1">INDIRECT(BA$5&amp;$AR26+8)&amp;"-"&amp;1</f>
        <v>2269-1</v>
      </c>
      <c r="BB26" s="9" t="str" cm="1">
        <f t="array" aca="1" ref="BB26" ca="1">INDIRECT(BB$5&amp;$AR26+8)&amp;"-"&amp;2</f>
        <v>2269-2</v>
      </c>
      <c r="BC26" s="8" t="str" cm="1">
        <f t="array" aca="1" ref="BC26" ca="1">INDIRECT(BC$5&amp;$AR26+8)&amp;"-"&amp;1</f>
        <v>2268-1</v>
      </c>
      <c r="BD26" s="9" t="str" cm="1">
        <f t="array" aca="1" ref="BD26" ca="1">INDIRECT(BD$5&amp;$AR26+8)&amp;"-"&amp;2</f>
        <v>2268-2</v>
      </c>
      <c r="BE26" s="8" t="str" cm="1">
        <f t="array" aca="1" ref="BE26" ca="1">INDIRECT(BE$5&amp;$AR26+8)&amp;"-"&amp;1</f>
        <v>2267-1</v>
      </c>
      <c r="BF26" s="9" t="str" cm="1">
        <f t="array" aca="1" ref="BF26" ca="1">INDIRECT(BF$5&amp;$AR26+8)&amp;"-"&amp;2</f>
        <v>2267-2</v>
      </c>
      <c r="BG26" s="8" t="str" cm="1">
        <f t="array" aca="1" ref="BG26" ca="1">INDIRECT(BG$5&amp;$AR26+8)&amp;"-"&amp;1</f>
        <v>2266-1</v>
      </c>
      <c r="BH26" s="9" t="str" cm="1">
        <f t="array" aca="1" ref="BH26" ca="1">INDIRECT(BH$5&amp;$AR26+8)&amp;"-"&amp;2</f>
        <v>2266-2</v>
      </c>
      <c r="BI26" s="8" t="str" cm="1">
        <f t="array" aca="1" ref="BI26" ca="1">INDIRECT(BI$5&amp;$AR26+8)&amp;"-"&amp;1</f>
        <v>2265-1</v>
      </c>
      <c r="BJ26" s="9" t="str" cm="1">
        <f t="array" aca="1" ref="BJ26" ca="1">INDIRECT(BJ$5&amp;$AR26+8)&amp;"-"&amp;2</f>
        <v>2265-2</v>
      </c>
      <c r="BK26" s="8" t="str" cm="1">
        <f t="array" aca="1" ref="BK26" ca="1">INDIRECT(BK$5&amp;$AR26+8)&amp;"-"&amp;1</f>
        <v>2264-1</v>
      </c>
      <c r="BL26" s="9" t="str" cm="1">
        <f t="array" aca="1" ref="BL26" ca="1">INDIRECT(BL$5&amp;$AR26+8)&amp;"-"&amp;2</f>
        <v>2264-2</v>
      </c>
      <c r="BM26" s="8" t="str" cm="1">
        <f t="array" aca="1" ref="BM26" ca="1">INDIRECT(BM$5&amp;$AR26+8)&amp;"-"&amp;1</f>
        <v>2263-1</v>
      </c>
      <c r="BN26" s="9" t="str" cm="1">
        <f t="array" aca="1" ref="BN26" ca="1">INDIRECT(BN$5&amp;$AR26+8)&amp;"-"&amp;2</f>
        <v>2263-2</v>
      </c>
      <c r="BO26" s="8" t="str" cm="1">
        <f t="array" aca="1" ref="BO26" ca="1">INDIRECT(BO$5&amp;$AR26+8)&amp;"-"&amp;1</f>
        <v>2262-1</v>
      </c>
      <c r="BP26" s="9" t="str" cm="1">
        <f t="array" aca="1" ref="BP26" ca="1">INDIRECT(BP$5&amp;$AR26+8)&amp;"-"&amp;2</f>
        <v>2262-2</v>
      </c>
      <c r="BQ26" s="8" t="str" cm="1">
        <f t="array" aca="1" ref="BQ26" ca="1">INDIRECT(BQ$5&amp;$AR26+8)&amp;"-"&amp;1</f>
        <v>2261-1</v>
      </c>
      <c r="BR26" s="9" t="str" cm="1">
        <f t="array" aca="1" ref="BR26" ca="1">INDIRECT(BR$5&amp;$AR26+8)&amp;"-"&amp;2</f>
        <v>2261-2</v>
      </c>
      <c r="BS26" s="8" t="str" cm="1">
        <f t="array" aca="1" ref="BS26" ca="1">INDIRECT(BS$5&amp;$AR26+8)&amp;"-"&amp;1</f>
        <v>2260-1</v>
      </c>
      <c r="BT26" s="9" t="str" cm="1">
        <f t="array" aca="1" ref="BT26" ca="1">INDIRECT(BT$5&amp;$AR26+8)&amp;"-"&amp;2</f>
        <v>2260-2</v>
      </c>
      <c r="BU26" s="8" t="str" cm="1">
        <f t="array" aca="1" ref="BU26" ca="1">INDIRECT(BU$5&amp;$AR26+8)&amp;"-"&amp;1</f>
        <v>2259-1</v>
      </c>
      <c r="BV26" s="9" t="str" cm="1">
        <f t="array" aca="1" ref="BV26" ca="1">INDIRECT(BV$5&amp;$AR26+8)&amp;"-"&amp;2</f>
        <v>2259-2</v>
      </c>
      <c r="BW26" s="8" t="str" cm="1">
        <f t="array" aca="1" ref="BW26" ca="1">INDIRECT(BW$5&amp;$AR26+8)&amp;"-"&amp;1</f>
        <v>2258-1</v>
      </c>
      <c r="BX26" s="9" t="str" cm="1">
        <f t="array" aca="1" ref="BX26" ca="1">INDIRECT(BX$5&amp;$AR26+8)&amp;"-"&amp;2</f>
        <v>2258-2</v>
      </c>
      <c r="BY26" s="8" t="str" cm="1">
        <f t="array" aca="1" ref="BY26" ca="1">INDIRECT(BY$5&amp;$AR26+8)&amp;"-"&amp;1</f>
        <v>2257-1</v>
      </c>
      <c r="BZ26" s="9" t="str" cm="1">
        <f t="array" aca="1" ref="BZ26" ca="1">INDIRECT(BZ$5&amp;$AR26+8)&amp;"-"&amp;2</f>
        <v>2257-2</v>
      </c>
      <c r="CA26" s="6" t="str" cm="1">
        <f t="array" aca="1" ref="CA26" ca="1">INDIRECT(CA$5&amp;$AR26+8)&amp;"-"&amp;1</f>
        <v>1272-1</v>
      </c>
      <c r="CB26" s="7" t="str" cm="1">
        <f t="array" aca="1" ref="CB26" ca="1">INDIRECT(CB$5&amp;$AR26+8)&amp;"-"&amp;2</f>
        <v>1272-2</v>
      </c>
      <c r="CC26" s="6" t="str" cm="1">
        <f t="array" aca="1" ref="CC26" ca="1">INDIRECT(CC$5&amp;$AR26+8)&amp;"-"&amp;1</f>
        <v>1271-1</v>
      </c>
      <c r="CD26" s="7" t="str" cm="1">
        <f t="array" aca="1" ref="CD26" ca="1">INDIRECT(CD$5&amp;$AR26+8)&amp;"-"&amp;2</f>
        <v>1271-2</v>
      </c>
      <c r="CE26" s="6" t="str" cm="1">
        <f t="array" aca="1" ref="CE26" ca="1">INDIRECT(CE$5&amp;$AR26+8)&amp;"-"&amp;1</f>
        <v>1270-1</v>
      </c>
      <c r="CF26" s="7" t="str" cm="1">
        <f t="array" aca="1" ref="CF26" ca="1">INDIRECT(CF$5&amp;$AR26+8)&amp;"-"&amp;2</f>
        <v>1270-2</v>
      </c>
      <c r="CG26" s="6" t="str" cm="1">
        <f t="array" aca="1" ref="CG26" ca="1">INDIRECT(CG$5&amp;$AR26+8)&amp;"-"&amp;1</f>
        <v>1269-1</v>
      </c>
      <c r="CH26" s="7" t="str" cm="1">
        <f t="array" aca="1" ref="CH26" ca="1">INDIRECT(CH$5&amp;$AR26+8)&amp;"-"&amp;2</f>
        <v>1269-2</v>
      </c>
      <c r="CI26" s="6" t="str" cm="1">
        <f t="array" aca="1" ref="CI26" ca="1">INDIRECT(CI$5&amp;$AR26+8)&amp;"-"&amp;1</f>
        <v>1268-1</v>
      </c>
      <c r="CJ26" s="7" t="str" cm="1">
        <f t="array" aca="1" ref="CJ26" ca="1">INDIRECT(CJ$5&amp;$AR26+8)&amp;"-"&amp;2</f>
        <v>1268-2</v>
      </c>
      <c r="CK26" s="6" t="str" cm="1">
        <f t="array" aca="1" ref="CK26" ca="1">INDIRECT(CK$5&amp;$AR26+8)&amp;"-"&amp;1</f>
        <v>1267-1</v>
      </c>
      <c r="CL26" s="7" t="str" cm="1">
        <f t="array" aca="1" ref="CL26" ca="1">INDIRECT(CL$5&amp;$AR26+8)&amp;"-"&amp;2</f>
        <v>1267-2</v>
      </c>
      <c r="CM26" s="6" t="str" cm="1">
        <f t="array" aca="1" ref="CM26" ca="1">INDIRECT(CM$5&amp;$AR26+8)&amp;"-"&amp;1</f>
        <v>1266-1</v>
      </c>
      <c r="CN26" s="7" t="str" cm="1">
        <f t="array" aca="1" ref="CN26" ca="1">INDIRECT(CN$5&amp;$AR26+8)&amp;"-"&amp;2</f>
        <v>1266-2</v>
      </c>
      <c r="CO26" s="6" t="str" cm="1">
        <f t="array" aca="1" ref="CO26" ca="1">INDIRECT(CO$5&amp;$AR26+8)&amp;"-"&amp;1</f>
        <v>1265-1</v>
      </c>
      <c r="CP26" s="7" t="str" cm="1">
        <f t="array" aca="1" ref="CP26" ca="1">INDIRECT(CP$5&amp;$AR26+8)&amp;"-"&amp;2</f>
        <v>1265-2</v>
      </c>
      <c r="CQ26" s="6" t="str" cm="1">
        <f t="array" aca="1" ref="CQ26" ca="1">INDIRECT(CQ$5&amp;$AR26+8)&amp;"-"&amp;1</f>
        <v>1264-1</v>
      </c>
      <c r="CR26" s="7" t="str" cm="1">
        <f t="array" aca="1" ref="CR26" ca="1">INDIRECT(CR$5&amp;$AR26+8)&amp;"-"&amp;2</f>
        <v>1264-2</v>
      </c>
      <c r="CS26" s="6" t="str" cm="1">
        <f t="array" aca="1" ref="CS26" ca="1">INDIRECT(CS$5&amp;$AR26+8)&amp;"-"&amp;1</f>
        <v>1263-1</v>
      </c>
      <c r="CT26" s="7" t="str" cm="1">
        <f t="array" aca="1" ref="CT26" ca="1">INDIRECT(CT$5&amp;$AR26+8)&amp;"-"&amp;2</f>
        <v>1263-2</v>
      </c>
      <c r="CU26" s="6" t="str" cm="1">
        <f t="array" aca="1" ref="CU26" ca="1">INDIRECT(CU$5&amp;$AR26+8)&amp;"-"&amp;1</f>
        <v>1262-1</v>
      </c>
      <c r="CV26" s="7" t="str" cm="1">
        <f t="array" aca="1" ref="CV26" ca="1">INDIRECT(CV$5&amp;$AR26+8)&amp;"-"&amp;2</f>
        <v>1262-2</v>
      </c>
      <c r="CW26" s="6" t="str" cm="1">
        <f t="array" aca="1" ref="CW26" ca="1">INDIRECT(CW$5&amp;$AR26+8)&amp;"-"&amp;1</f>
        <v>1261-1</v>
      </c>
      <c r="CX26" s="7" t="str" cm="1">
        <f t="array" aca="1" ref="CX26" ca="1">INDIRECT(CX$5&amp;$AR26+8)&amp;"-"&amp;2</f>
        <v>1261-2</v>
      </c>
      <c r="CY26" s="6" t="str" cm="1">
        <f t="array" aca="1" ref="CY26" ca="1">INDIRECT(CY$5&amp;$AR26+8)&amp;"-"&amp;1</f>
        <v>1260-1</v>
      </c>
      <c r="CZ26" s="7" t="str" cm="1">
        <f t="array" aca="1" ref="CZ26" ca="1">INDIRECT(CZ$5&amp;$AR26+8)&amp;"-"&amp;2</f>
        <v>1260-2</v>
      </c>
      <c r="DA26" s="6" t="str" cm="1">
        <f t="array" aca="1" ref="DA26" ca="1">INDIRECT(DA$5&amp;$AR26+8)&amp;"-"&amp;1</f>
        <v>1259-1</v>
      </c>
      <c r="DB26" s="7" t="str" cm="1">
        <f t="array" aca="1" ref="DB26" ca="1">INDIRECT(DB$5&amp;$AR26+8)&amp;"-"&amp;2</f>
        <v>1259-2</v>
      </c>
      <c r="DC26" s="6" t="str" cm="1">
        <f t="array" aca="1" ref="DC26" ca="1">INDIRECT(DC$5&amp;$AR26+8)&amp;"-"&amp;1</f>
        <v>1258-1</v>
      </c>
      <c r="DD26" s="7" t="str" cm="1">
        <f t="array" aca="1" ref="DD26" ca="1">INDIRECT(DD$5&amp;$AR26+8)&amp;"-"&amp;2</f>
        <v>1258-2</v>
      </c>
      <c r="DE26" s="6" t="str" cm="1">
        <f t="array" aca="1" ref="DE26" ca="1">INDIRECT(DE$5&amp;$AR26+8)&amp;"-"&amp;1</f>
        <v>1257-1</v>
      </c>
      <c r="DF26" s="7" t="str" cm="1">
        <f t="array" aca="1" ref="DF26" ca="1">INDIRECT(DF$5&amp;$AR26+8)&amp;"-"&amp;2</f>
        <v>1257-2</v>
      </c>
      <c r="DG26" s="25" t="str" cm="1">
        <f t="array" aca="1" ref="DG26" ca="1">INDIRECT(DG$5&amp;$AR26+8)</f>
        <v>Border</v>
      </c>
      <c r="DH26" s="25" t="str" cm="1">
        <f t="array" aca="1" ref="DH26" ca="1">INDIRECT(DH$5&amp;$AR26+8)</f>
        <v>Border</v>
      </c>
    </row>
    <row r="27" spans="1:112" ht="40.049999999999997" customHeight="1" x14ac:dyDescent="0.45">
      <c r="A27" s="2"/>
      <c r="B27" s="3">
        <v>19</v>
      </c>
      <c r="C27" s="11" t="s">
        <v>9</v>
      </c>
      <c r="D27" s="5">
        <f t="shared" ref="D27:R27" si="18">E27+1</f>
        <v>2288</v>
      </c>
      <c r="E27" s="5">
        <f t="shared" si="18"/>
        <v>2287</v>
      </c>
      <c r="F27" s="5">
        <f t="shared" si="18"/>
        <v>2286</v>
      </c>
      <c r="G27" s="5">
        <f t="shared" si="18"/>
        <v>2285</v>
      </c>
      <c r="H27" s="5">
        <f t="shared" si="18"/>
        <v>2284</v>
      </c>
      <c r="I27" s="5">
        <f t="shared" si="18"/>
        <v>2283</v>
      </c>
      <c r="J27" s="5">
        <f t="shared" si="18"/>
        <v>2282</v>
      </c>
      <c r="K27" s="5">
        <f t="shared" si="18"/>
        <v>2281</v>
      </c>
      <c r="L27" s="5">
        <f t="shared" si="18"/>
        <v>2280</v>
      </c>
      <c r="M27" s="5">
        <f t="shared" si="18"/>
        <v>2279</v>
      </c>
      <c r="N27" s="5">
        <f t="shared" si="18"/>
        <v>2278</v>
      </c>
      <c r="O27" s="5">
        <f t="shared" si="18"/>
        <v>2277</v>
      </c>
      <c r="P27" s="5">
        <f t="shared" si="18"/>
        <v>2276</v>
      </c>
      <c r="Q27" s="5">
        <f t="shared" si="18"/>
        <v>2275</v>
      </c>
      <c r="R27" s="5">
        <f t="shared" si="18"/>
        <v>2274</v>
      </c>
      <c r="S27" s="5">
        <f t="array" ref="S27">D26+1</f>
        <v>2273</v>
      </c>
      <c r="T27" s="4">
        <f t="shared" si="2"/>
        <v>1288</v>
      </c>
      <c r="U27" s="4">
        <f t="shared" si="2"/>
        <v>1287</v>
      </c>
      <c r="V27" s="4">
        <f t="shared" si="2"/>
        <v>1286</v>
      </c>
      <c r="W27" s="4">
        <f t="shared" si="2"/>
        <v>1285</v>
      </c>
      <c r="X27" s="4">
        <f t="shared" si="2"/>
        <v>1284</v>
      </c>
      <c r="Y27" s="4">
        <f t="shared" si="2"/>
        <v>1283</v>
      </c>
      <c r="Z27" s="4">
        <f t="shared" si="2"/>
        <v>1282</v>
      </c>
      <c r="AA27" s="4">
        <f t="shared" si="2"/>
        <v>1281</v>
      </c>
      <c r="AB27" s="4">
        <f t="shared" si="2"/>
        <v>1280</v>
      </c>
      <c r="AC27" s="4">
        <f t="shared" si="2"/>
        <v>1279</v>
      </c>
      <c r="AD27" s="4">
        <f t="shared" si="2"/>
        <v>1278</v>
      </c>
      <c r="AE27" s="4">
        <f t="shared" si="2"/>
        <v>1277</v>
      </c>
      <c r="AF27" s="4">
        <f t="shared" si="2"/>
        <v>1276</v>
      </c>
      <c r="AG27" s="4">
        <f t="shared" si="2"/>
        <v>1275</v>
      </c>
      <c r="AH27" s="4">
        <f t="shared" si="2"/>
        <v>1274</v>
      </c>
      <c r="AI27" s="4">
        <f t="shared" si="3"/>
        <v>1273</v>
      </c>
      <c r="AJ27" s="11" t="s">
        <v>9</v>
      </c>
      <c r="AQ27" s="2"/>
      <c r="AR27" s="3">
        <v>19</v>
      </c>
      <c r="AS27" s="22" t="str" cm="1">
        <f t="array" aca="1" ref="AS27" ca="1">INDIRECT(AS$5&amp;$AR27+8)</f>
        <v>Border</v>
      </c>
      <c r="AT27" s="23" t="str" cm="1">
        <f t="array" aca="1" ref="AT27" ca="1">INDIRECT(AT$5&amp;$AR27+8)</f>
        <v>Border</v>
      </c>
      <c r="AU27" s="8" t="str" cm="1">
        <f t="array" aca="1" ref="AU27" ca="1">INDIRECT(AU$5&amp;$AR27+8)&amp;"-"&amp;1</f>
        <v>2288-1</v>
      </c>
      <c r="AV27" s="9" t="str" cm="1">
        <f t="array" aca="1" ref="AV27" ca="1">INDIRECT(AV$5&amp;$AR27+8)&amp;"-"&amp;2</f>
        <v>2288-2</v>
      </c>
      <c r="AW27" s="8" t="str" cm="1">
        <f t="array" aca="1" ref="AW27" ca="1">INDIRECT(AW$5&amp;$AR27+8)&amp;"-"&amp;1</f>
        <v>2287-1</v>
      </c>
      <c r="AX27" s="9" t="str" cm="1">
        <f t="array" aca="1" ref="AX27" ca="1">INDIRECT(AX$5&amp;$AR27+8)&amp;"-"&amp;2</f>
        <v>2287-2</v>
      </c>
      <c r="AY27" s="8" t="str" cm="1">
        <f t="array" aca="1" ref="AY27" ca="1">INDIRECT(AY$5&amp;$AR27+8)&amp;"-"&amp;1</f>
        <v>2286-1</v>
      </c>
      <c r="AZ27" s="9" t="str" cm="1">
        <f t="array" aca="1" ref="AZ27" ca="1">INDIRECT(AZ$5&amp;$AR27+8)&amp;"-"&amp;2</f>
        <v>2286-2</v>
      </c>
      <c r="BA27" s="8" t="str" cm="1">
        <f t="array" aca="1" ref="BA27" ca="1">INDIRECT(BA$5&amp;$AR27+8)&amp;"-"&amp;1</f>
        <v>2285-1</v>
      </c>
      <c r="BB27" s="9" t="str" cm="1">
        <f t="array" aca="1" ref="BB27" ca="1">INDIRECT(BB$5&amp;$AR27+8)&amp;"-"&amp;2</f>
        <v>2285-2</v>
      </c>
      <c r="BC27" s="8" t="str" cm="1">
        <f t="array" aca="1" ref="BC27" ca="1">INDIRECT(BC$5&amp;$AR27+8)&amp;"-"&amp;1</f>
        <v>2284-1</v>
      </c>
      <c r="BD27" s="9" t="str" cm="1">
        <f t="array" aca="1" ref="BD27" ca="1">INDIRECT(BD$5&amp;$AR27+8)&amp;"-"&amp;2</f>
        <v>2284-2</v>
      </c>
      <c r="BE27" s="8" t="str" cm="1">
        <f t="array" aca="1" ref="BE27" ca="1">INDIRECT(BE$5&amp;$AR27+8)&amp;"-"&amp;1</f>
        <v>2283-1</v>
      </c>
      <c r="BF27" s="9" t="str" cm="1">
        <f t="array" aca="1" ref="BF27" ca="1">INDIRECT(BF$5&amp;$AR27+8)&amp;"-"&amp;2</f>
        <v>2283-2</v>
      </c>
      <c r="BG27" s="8" t="str" cm="1">
        <f t="array" aca="1" ref="BG27" ca="1">INDIRECT(BG$5&amp;$AR27+8)&amp;"-"&amp;1</f>
        <v>2282-1</v>
      </c>
      <c r="BH27" s="9" t="str" cm="1">
        <f t="array" aca="1" ref="BH27" ca="1">INDIRECT(BH$5&amp;$AR27+8)&amp;"-"&amp;2</f>
        <v>2282-2</v>
      </c>
      <c r="BI27" s="8" t="str" cm="1">
        <f t="array" aca="1" ref="BI27" ca="1">INDIRECT(BI$5&amp;$AR27+8)&amp;"-"&amp;1</f>
        <v>2281-1</v>
      </c>
      <c r="BJ27" s="9" t="str" cm="1">
        <f t="array" aca="1" ref="BJ27" ca="1">INDIRECT(BJ$5&amp;$AR27+8)&amp;"-"&amp;2</f>
        <v>2281-2</v>
      </c>
      <c r="BK27" s="8" t="str" cm="1">
        <f t="array" aca="1" ref="BK27" ca="1">INDIRECT(BK$5&amp;$AR27+8)&amp;"-"&amp;1</f>
        <v>2280-1</v>
      </c>
      <c r="BL27" s="9" t="str" cm="1">
        <f t="array" aca="1" ref="BL27" ca="1">INDIRECT(BL$5&amp;$AR27+8)&amp;"-"&amp;2</f>
        <v>2280-2</v>
      </c>
      <c r="BM27" s="8" t="str" cm="1">
        <f t="array" aca="1" ref="BM27" ca="1">INDIRECT(BM$5&amp;$AR27+8)&amp;"-"&amp;1</f>
        <v>2279-1</v>
      </c>
      <c r="BN27" s="9" t="str" cm="1">
        <f t="array" aca="1" ref="BN27" ca="1">INDIRECT(BN$5&amp;$AR27+8)&amp;"-"&amp;2</f>
        <v>2279-2</v>
      </c>
      <c r="BO27" s="8" t="str" cm="1">
        <f t="array" aca="1" ref="BO27" ca="1">INDIRECT(BO$5&amp;$AR27+8)&amp;"-"&amp;1</f>
        <v>2278-1</v>
      </c>
      <c r="BP27" s="9" t="str" cm="1">
        <f t="array" aca="1" ref="BP27" ca="1">INDIRECT(BP$5&amp;$AR27+8)&amp;"-"&amp;2</f>
        <v>2278-2</v>
      </c>
      <c r="BQ27" s="8" t="str" cm="1">
        <f t="array" aca="1" ref="BQ27" ca="1">INDIRECT(BQ$5&amp;$AR27+8)&amp;"-"&amp;1</f>
        <v>2277-1</v>
      </c>
      <c r="BR27" s="9" t="str" cm="1">
        <f t="array" aca="1" ref="BR27" ca="1">INDIRECT(BR$5&amp;$AR27+8)&amp;"-"&amp;2</f>
        <v>2277-2</v>
      </c>
      <c r="BS27" s="8" t="str" cm="1">
        <f t="array" aca="1" ref="BS27" ca="1">INDIRECT(BS$5&amp;$AR27+8)&amp;"-"&amp;1</f>
        <v>2276-1</v>
      </c>
      <c r="BT27" s="9" t="str" cm="1">
        <f t="array" aca="1" ref="BT27" ca="1">INDIRECT(BT$5&amp;$AR27+8)&amp;"-"&amp;2</f>
        <v>2276-2</v>
      </c>
      <c r="BU27" s="8" t="str" cm="1">
        <f t="array" aca="1" ref="BU27" ca="1">INDIRECT(BU$5&amp;$AR27+8)&amp;"-"&amp;1</f>
        <v>2275-1</v>
      </c>
      <c r="BV27" s="9" t="str" cm="1">
        <f t="array" aca="1" ref="BV27" ca="1">INDIRECT(BV$5&amp;$AR27+8)&amp;"-"&amp;2</f>
        <v>2275-2</v>
      </c>
      <c r="BW27" s="8" t="str" cm="1">
        <f t="array" aca="1" ref="BW27" ca="1">INDIRECT(BW$5&amp;$AR27+8)&amp;"-"&amp;1</f>
        <v>2274-1</v>
      </c>
      <c r="BX27" s="9" t="str" cm="1">
        <f t="array" aca="1" ref="BX27" ca="1">INDIRECT(BX$5&amp;$AR27+8)&amp;"-"&amp;2</f>
        <v>2274-2</v>
      </c>
      <c r="BY27" s="8" t="str" cm="1">
        <f t="array" aca="1" ref="BY27" ca="1">INDIRECT(BY$5&amp;$AR27+8)&amp;"-"&amp;1</f>
        <v>2273-1</v>
      </c>
      <c r="BZ27" s="9" t="str" cm="1">
        <f t="array" aca="1" ref="BZ27" ca="1">INDIRECT(BZ$5&amp;$AR27+8)&amp;"-"&amp;2</f>
        <v>2273-2</v>
      </c>
      <c r="CA27" s="6" t="str" cm="1">
        <f t="array" aca="1" ref="CA27" ca="1">INDIRECT(CA$5&amp;$AR27+8)&amp;"-"&amp;1</f>
        <v>1288-1</v>
      </c>
      <c r="CB27" s="7" t="str" cm="1">
        <f t="array" aca="1" ref="CB27" ca="1">INDIRECT(CB$5&amp;$AR27+8)&amp;"-"&amp;2</f>
        <v>1288-2</v>
      </c>
      <c r="CC27" s="6" t="str" cm="1">
        <f t="array" aca="1" ref="CC27" ca="1">INDIRECT(CC$5&amp;$AR27+8)&amp;"-"&amp;1</f>
        <v>1287-1</v>
      </c>
      <c r="CD27" s="7" t="str" cm="1">
        <f t="array" aca="1" ref="CD27" ca="1">INDIRECT(CD$5&amp;$AR27+8)&amp;"-"&amp;2</f>
        <v>1287-2</v>
      </c>
      <c r="CE27" s="6" t="str" cm="1">
        <f t="array" aca="1" ref="CE27" ca="1">INDIRECT(CE$5&amp;$AR27+8)&amp;"-"&amp;1</f>
        <v>1286-1</v>
      </c>
      <c r="CF27" s="7" t="str" cm="1">
        <f t="array" aca="1" ref="CF27" ca="1">INDIRECT(CF$5&amp;$AR27+8)&amp;"-"&amp;2</f>
        <v>1286-2</v>
      </c>
      <c r="CG27" s="6" t="str" cm="1">
        <f t="array" aca="1" ref="CG27" ca="1">INDIRECT(CG$5&amp;$AR27+8)&amp;"-"&amp;1</f>
        <v>1285-1</v>
      </c>
      <c r="CH27" s="7" t="str" cm="1">
        <f t="array" aca="1" ref="CH27" ca="1">INDIRECT(CH$5&amp;$AR27+8)&amp;"-"&amp;2</f>
        <v>1285-2</v>
      </c>
      <c r="CI27" s="6" t="str" cm="1">
        <f t="array" aca="1" ref="CI27" ca="1">INDIRECT(CI$5&amp;$AR27+8)&amp;"-"&amp;1</f>
        <v>1284-1</v>
      </c>
      <c r="CJ27" s="7" t="str" cm="1">
        <f t="array" aca="1" ref="CJ27" ca="1">INDIRECT(CJ$5&amp;$AR27+8)&amp;"-"&amp;2</f>
        <v>1284-2</v>
      </c>
      <c r="CK27" s="6" t="str" cm="1">
        <f t="array" aca="1" ref="CK27" ca="1">INDIRECT(CK$5&amp;$AR27+8)&amp;"-"&amp;1</f>
        <v>1283-1</v>
      </c>
      <c r="CL27" s="7" t="str" cm="1">
        <f t="array" aca="1" ref="CL27" ca="1">INDIRECT(CL$5&amp;$AR27+8)&amp;"-"&amp;2</f>
        <v>1283-2</v>
      </c>
      <c r="CM27" s="6" t="str" cm="1">
        <f t="array" aca="1" ref="CM27" ca="1">INDIRECT(CM$5&amp;$AR27+8)&amp;"-"&amp;1</f>
        <v>1282-1</v>
      </c>
      <c r="CN27" s="7" t="str" cm="1">
        <f t="array" aca="1" ref="CN27" ca="1">INDIRECT(CN$5&amp;$AR27+8)&amp;"-"&amp;2</f>
        <v>1282-2</v>
      </c>
      <c r="CO27" s="6" t="str" cm="1">
        <f t="array" aca="1" ref="CO27" ca="1">INDIRECT(CO$5&amp;$AR27+8)&amp;"-"&amp;1</f>
        <v>1281-1</v>
      </c>
      <c r="CP27" s="7" t="str" cm="1">
        <f t="array" aca="1" ref="CP27" ca="1">INDIRECT(CP$5&amp;$AR27+8)&amp;"-"&amp;2</f>
        <v>1281-2</v>
      </c>
      <c r="CQ27" s="6" t="str" cm="1">
        <f t="array" aca="1" ref="CQ27" ca="1">INDIRECT(CQ$5&amp;$AR27+8)&amp;"-"&amp;1</f>
        <v>1280-1</v>
      </c>
      <c r="CR27" s="7" t="str" cm="1">
        <f t="array" aca="1" ref="CR27" ca="1">INDIRECT(CR$5&amp;$AR27+8)&amp;"-"&amp;2</f>
        <v>1280-2</v>
      </c>
      <c r="CS27" s="6" t="str" cm="1">
        <f t="array" aca="1" ref="CS27" ca="1">INDIRECT(CS$5&amp;$AR27+8)&amp;"-"&amp;1</f>
        <v>1279-1</v>
      </c>
      <c r="CT27" s="7" t="str" cm="1">
        <f t="array" aca="1" ref="CT27" ca="1">INDIRECT(CT$5&amp;$AR27+8)&amp;"-"&amp;2</f>
        <v>1279-2</v>
      </c>
      <c r="CU27" s="6" t="str" cm="1">
        <f t="array" aca="1" ref="CU27" ca="1">INDIRECT(CU$5&amp;$AR27+8)&amp;"-"&amp;1</f>
        <v>1278-1</v>
      </c>
      <c r="CV27" s="7" t="str" cm="1">
        <f t="array" aca="1" ref="CV27" ca="1">INDIRECT(CV$5&amp;$AR27+8)&amp;"-"&amp;2</f>
        <v>1278-2</v>
      </c>
      <c r="CW27" s="6" t="str" cm="1">
        <f t="array" aca="1" ref="CW27" ca="1">INDIRECT(CW$5&amp;$AR27+8)&amp;"-"&amp;1</f>
        <v>1277-1</v>
      </c>
      <c r="CX27" s="7" t="str" cm="1">
        <f t="array" aca="1" ref="CX27" ca="1">INDIRECT(CX$5&amp;$AR27+8)&amp;"-"&amp;2</f>
        <v>1277-2</v>
      </c>
      <c r="CY27" s="6" t="str" cm="1">
        <f t="array" aca="1" ref="CY27" ca="1">INDIRECT(CY$5&amp;$AR27+8)&amp;"-"&amp;1</f>
        <v>1276-1</v>
      </c>
      <c r="CZ27" s="7" t="str" cm="1">
        <f t="array" aca="1" ref="CZ27" ca="1">INDIRECT(CZ$5&amp;$AR27+8)&amp;"-"&amp;2</f>
        <v>1276-2</v>
      </c>
      <c r="DA27" s="6" t="str" cm="1">
        <f t="array" aca="1" ref="DA27" ca="1">INDIRECT(DA$5&amp;$AR27+8)&amp;"-"&amp;1</f>
        <v>1275-1</v>
      </c>
      <c r="DB27" s="7" t="str" cm="1">
        <f t="array" aca="1" ref="DB27" ca="1">INDIRECT(DB$5&amp;$AR27+8)&amp;"-"&amp;2</f>
        <v>1275-2</v>
      </c>
      <c r="DC27" s="6" t="str" cm="1">
        <f t="array" aca="1" ref="DC27" ca="1">INDIRECT(DC$5&amp;$AR27+8)&amp;"-"&amp;1</f>
        <v>1274-1</v>
      </c>
      <c r="DD27" s="7" t="str" cm="1">
        <f t="array" aca="1" ref="DD27" ca="1">INDIRECT(DD$5&amp;$AR27+8)&amp;"-"&amp;2</f>
        <v>1274-2</v>
      </c>
      <c r="DE27" s="6" t="str" cm="1">
        <f t="array" aca="1" ref="DE27" ca="1">INDIRECT(DE$5&amp;$AR27+8)&amp;"-"&amp;1</f>
        <v>1273-1</v>
      </c>
      <c r="DF27" s="7" t="str" cm="1">
        <f t="array" aca="1" ref="DF27" ca="1">INDIRECT(DF$5&amp;$AR27+8)&amp;"-"&amp;2</f>
        <v>1273-2</v>
      </c>
      <c r="DG27" s="25" t="str" cm="1">
        <f t="array" aca="1" ref="DG27" ca="1">INDIRECT(DG$5&amp;$AR27+8)</f>
        <v>Border</v>
      </c>
      <c r="DH27" s="25" t="str" cm="1">
        <f t="array" aca="1" ref="DH27" ca="1">INDIRECT(DH$5&amp;$AR27+8)</f>
        <v>Border</v>
      </c>
    </row>
    <row r="28" spans="1:112" ht="40.049999999999997" customHeight="1" x14ac:dyDescent="0.45">
      <c r="A28" s="2"/>
      <c r="B28" s="3">
        <v>20</v>
      </c>
      <c r="C28" s="11" t="s">
        <v>9</v>
      </c>
      <c r="D28" s="5">
        <f t="shared" ref="D28:R28" si="19">E28+1</f>
        <v>2304</v>
      </c>
      <c r="E28" s="5">
        <f t="shared" si="19"/>
        <v>2303</v>
      </c>
      <c r="F28" s="5">
        <f t="shared" si="19"/>
        <v>2302</v>
      </c>
      <c r="G28" s="5">
        <f t="shared" si="19"/>
        <v>2301</v>
      </c>
      <c r="H28" s="5">
        <f t="shared" si="19"/>
        <v>2300</v>
      </c>
      <c r="I28" s="5">
        <f t="shared" si="19"/>
        <v>2299</v>
      </c>
      <c r="J28" s="5">
        <f t="shared" si="19"/>
        <v>2298</v>
      </c>
      <c r="K28" s="5">
        <f t="shared" si="19"/>
        <v>2297</v>
      </c>
      <c r="L28" s="5">
        <f t="shared" si="19"/>
        <v>2296</v>
      </c>
      <c r="M28" s="5">
        <f t="shared" si="19"/>
        <v>2295</v>
      </c>
      <c r="N28" s="5">
        <f t="shared" si="19"/>
        <v>2294</v>
      </c>
      <c r="O28" s="5">
        <f t="shared" si="19"/>
        <v>2293</v>
      </c>
      <c r="P28" s="5">
        <f t="shared" si="19"/>
        <v>2292</v>
      </c>
      <c r="Q28" s="5">
        <f t="shared" si="19"/>
        <v>2291</v>
      </c>
      <c r="R28" s="5">
        <f t="shared" si="19"/>
        <v>2290</v>
      </c>
      <c r="S28" s="5">
        <f t="array" ref="S28">D27+1</f>
        <v>2289</v>
      </c>
      <c r="T28" s="4">
        <f t="shared" ref="T28:AH30" si="20">U28+1</f>
        <v>1304</v>
      </c>
      <c r="U28" s="4">
        <f t="shared" si="20"/>
        <v>1303</v>
      </c>
      <c r="V28" s="4">
        <f t="shared" si="20"/>
        <v>1302</v>
      </c>
      <c r="W28" s="4">
        <f t="shared" si="20"/>
        <v>1301</v>
      </c>
      <c r="X28" s="4">
        <f t="shared" si="20"/>
        <v>1300</v>
      </c>
      <c r="Y28" s="4">
        <f t="shared" si="20"/>
        <v>1299</v>
      </c>
      <c r="Z28" s="4">
        <f t="shared" si="20"/>
        <v>1298</v>
      </c>
      <c r="AA28" s="4">
        <f t="shared" si="20"/>
        <v>1297</v>
      </c>
      <c r="AB28" s="4">
        <f t="shared" si="20"/>
        <v>1296</v>
      </c>
      <c r="AC28" s="4">
        <f t="shared" si="20"/>
        <v>1295</v>
      </c>
      <c r="AD28" s="4">
        <f t="shared" si="20"/>
        <v>1294</v>
      </c>
      <c r="AE28" s="4">
        <f t="shared" si="20"/>
        <v>1293</v>
      </c>
      <c r="AF28" s="4">
        <f t="shared" si="20"/>
        <v>1292</v>
      </c>
      <c r="AG28" s="4">
        <f t="shared" si="20"/>
        <v>1291</v>
      </c>
      <c r="AH28" s="4">
        <f t="shared" si="20"/>
        <v>1290</v>
      </c>
      <c r="AI28" s="4">
        <f t="shared" si="3"/>
        <v>1289</v>
      </c>
      <c r="AJ28" s="11" t="s">
        <v>9</v>
      </c>
      <c r="AQ28" s="2"/>
      <c r="AR28" s="3">
        <v>20</v>
      </c>
      <c r="AS28" s="22" t="str" cm="1">
        <f t="array" aca="1" ref="AS28" ca="1">INDIRECT(AS$5&amp;$AR28+8)</f>
        <v>Border</v>
      </c>
      <c r="AT28" s="23" t="str" cm="1">
        <f t="array" aca="1" ref="AT28" ca="1">INDIRECT(AT$5&amp;$AR28+8)</f>
        <v>Border</v>
      </c>
      <c r="AU28" s="8" t="str" cm="1">
        <f t="array" aca="1" ref="AU28" ca="1">INDIRECT(AU$5&amp;$AR28+8)&amp;"-"&amp;1</f>
        <v>2304-1</v>
      </c>
      <c r="AV28" s="9" t="str" cm="1">
        <f t="array" aca="1" ref="AV28" ca="1">INDIRECT(AV$5&amp;$AR28+8)&amp;"-"&amp;2</f>
        <v>2304-2</v>
      </c>
      <c r="AW28" s="8" t="str" cm="1">
        <f t="array" aca="1" ref="AW28" ca="1">INDIRECT(AW$5&amp;$AR28+8)&amp;"-"&amp;1</f>
        <v>2303-1</v>
      </c>
      <c r="AX28" s="9" t="str" cm="1">
        <f t="array" aca="1" ref="AX28" ca="1">INDIRECT(AX$5&amp;$AR28+8)&amp;"-"&amp;2</f>
        <v>2303-2</v>
      </c>
      <c r="AY28" s="8" t="str" cm="1">
        <f t="array" aca="1" ref="AY28" ca="1">INDIRECT(AY$5&amp;$AR28+8)&amp;"-"&amp;1</f>
        <v>2302-1</v>
      </c>
      <c r="AZ28" s="9" t="str" cm="1">
        <f t="array" aca="1" ref="AZ28" ca="1">INDIRECT(AZ$5&amp;$AR28+8)&amp;"-"&amp;2</f>
        <v>2302-2</v>
      </c>
      <c r="BA28" s="8" t="str" cm="1">
        <f t="array" aca="1" ref="BA28" ca="1">INDIRECT(BA$5&amp;$AR28+8)&amp;"-"&amp;1</f>
        <v>2301-1</v>
      </c>
      <c r="BB28" s="9" t="str" cm="1">
        <f t="array" aca="1" ref="BB28" ca="1">INDIRECT(BB$5&amp;$AR28+8)&amp;"-"&amp;2</f>
        <v>2301-2</v>
      </c>
      <c r="BC28" s="8" t="str" cm="1">
        <f t="array" aca="1" ref="BC28" ca="1">INDIRECT(BC$5&amp;$AR28+8)&amp;"-"&amp;1</f>
        <v>2300-1</v>
      </c>
      <c r="BD28" s="9" t="str" cm="1">
        <f t="array" aca="1" ref="BD28" ca="1">INDIRECT(BD$5&amp;$AR28+8)&amp;"-"&amp;2</f>
        <v>2300-2</v>
      </c>
      <c r="BE28" s="8" t="str" cm="1">
        <f t="array" aca="1" ref="BE28" ca="1">INDIRECT(BE$5&amp;$AR28+8)&amp;"-"&amp;1</f>
        <v>2299-1</v>
      </c>
      <c r="BF28" s="9" t="str" cm="1">
        <f t="array" aca="1" ref="BF28" ca="1">INDIRECT(BF$5&amp;$AR28+8)&amp;"-"&amp;2</f>
        <v>2299-2</v>
      </c>
      <c r="BG28" s="8" t="str" cm="1">
        <f t="array" aca="1" ref="BG28" ca="1">INDIRECT(BG$5&amp;$AR28+8)&amp;"-"&amp;1</f>
        <v>2298-1</v>
      </c>
      <c r="BH28" s="9" t="str" cm="1">
        <f t="array" aca="1" ref="BH28" ca="1">INDIRECT(BH$5&amp;$AR28+8)&amp;"-"&amp;2</f>
        <v>2298-2</v>
      </c>
      <c r="BI28" s="8" t="str" cm="1">
        <f t="array" aca="1" ref="BI28" ca="1">INDIRECT(BI$5&amp;$AR28+8)&amp;"-"&amp;1</f>
        <v>2297-1</v>
      </c>
      <c r="BJ28" s="9" t="str" cm="1">
        <f t="array" aca="1" ref="BJ28" ca="1">INDIRECT(BJ$5&amp;$AR28+8)&amp;"-"&amp;2</f>
        <v>2297-2</v>
      </c>
      <c r="BK28" s="8" t="str" cm="1">
        <f t="array" aca="1" ref="BK28" ca="1">INDIRECT(BK$5&amp;$AR28+8)&amp;"-"&amp;1</f>
        <v>2296-1</v>
      </c>
      <c r="BL28" s="9" t="str" cm="1">
        <f t="array" aca="1" ref="BL28" ca="1">INDIRECT(BL$5&amp;$AR28+8)&amp;"-"&amp;2</f>
        <v>2296-2</v>
      </c>
      <c r="BM28" s="8" t="str" cm="1">
        <f t="array" aca="1" ref="BM28" ca="1">INDIRECT(BM$5&amp;$AR28+8)&amp;"-"&amp;1</f>
        <v>2295-1</v>
      </c>
      <c r="BN28" s="9" t="str" cm="1">
        <f t="array" aca="1" ref="BN28" ca="1">INDIRECT(BN$5&amp;$AR28+8)&amp;"-"&amp;2</f>
        <v>2295-2</v>
      </c>
      <c r="BO28" s="8" t="str" cm="1">
        <f t="array" aca="1" ref="BO28" ca="1">INDIRECT(BO$5&amp;$AR28+8)&amp;"-"&amp;1</f>
        <v>2294-1</v>
      </c>
      <c r="BP28" s="9" t="str" cm="1">
        <f t="array" aca="1" ref="BP28" ca="1">INDIRECT(BP$5&amp;$AR28+8)&amp;"-"&amp;2</f>
        <v>2294-2</v>
      </c>
      <c r="BQ28" s="8" t="str" cm="1">
        <f t="array" aca="1" ref="BQ28" ca="1">INDIRECT(BQ$5&amp;$AR28+8)&amp;"-"&amp;1</f>
        <v>2293-1</v>
      </c>
      <c r="BR28" s="9" t="str" cm="1">
        <f t="array" aca="1" ref="BR28" ca="1">INDIRECT(BR$5&amp;$AR28+8)&amp;"-"&amp;2</f>
        <v>2293-2</v>
      </c>
      <c r="BS28" s="8" t="str" cm="1">
        <f t="array" aca="1" ref="BS28" ca="1">INDIRECT(BS$5&amp;$AR28+8)&amp;"-"&amp;1</f>
        <v>2292-1</v>
      </c>
      <c r="BT28" s="9" t="str" cm="1">
        <f t="array" aca="1" ref="BT28" ca="1">INDIRECT(BT$5&amp;$AR28+8)&amp;"-"&amp;2</f>
        <v>2292-2</v>
      </c>
      <c r="BU28" s="8" t="str" cm="1">
        <f t="array" aca="1" ref="BU28" ca="1">INDIRECT(BU$5&amp;$AR28+8)&amp;"-"&amp;1</f>
        <v>2291-1</v>
      </c>
      <c r="BV28" s="9" t="str" cm="1">
        <f t="array" aca="1" ref="BV28" ca="1">INDIRECT(BV$5&amp;$AR28+8)&amp;"-"&amp;2</f>
        <v>2291-2</v>
      </c>
      <c r="BW28" s="8" t="str" cm="1">
        <f t="array" aca="1" ref="BW28" ca="1">INDIRECT(BW$5&amp;$AR28+8)&amp;"-"&amp;1</f>
        <v>2290-1</v>
      </c>
      <c r="BX28" s="9" t="str" cm="1">
        <f t="array" aca="1" ref="BX28" ca="1">INDIRECT(BX$5&amp;$AR28+8)&amp;"-"&amp;2</f>
        <v>2290-2</v>
      </c>
      <c r="BY28" s="8" t="str" cm="1">
        <f t="array" aca="1" ref="BY28" ca="1">INDIRECT(BY$5&amp;$AR28+8)&amp;"-"&amp;1</f>
        <v>2289-1</v>
      </c>
      <c r="BZ28" s="9" t="str" cm="1">
        <f t="array" aca="1" ref="BZ28" ca="1">INDIRECT(BZ$5&amp;$AR28+8)&amp;"-"&amp;2</f>
        <v>2289-2</v>
      </c>
      <c r="CA28" s="6" t="str" cm="1">
        <f t="array" aca="1" ref="CA28" ca="1">INDIRECT(CA$5&amp;$AR28+8)&amp;"-"&amp;1</f>
        <v>1304-1</v>
      </c>
      <c r="CB28" s="7" t="str" cm="1">
        <f t="array" aca="1" ref="CB28" ca="1">INDIRECT(CB$5&amp;$AR28+8)&amp;"-"&amp;2</f>
        <v>1304-2</v>
      </c>
      <c r="CC28" s="6" t="str" cm="1">
        <f t="array" aca="1" ref="CC28" ca="1">INDIRECT(CC$5&amp;$AR28+8)&amp;"-"&amp;1</f>
        <v>1303-1</v>
      </c>
      <c r="CD28" s="7" t="str" cm="1">
        <f t="array" aca="1" ref="CD28" ca="1">INDIRECT(CD$5&amp;$AR28+8)&amp;"-"&amp;2</f>
        <v>1303-2</v>
      </c>
      <c r="CE28" s="6" t="str" cm="1">
        <f t="array" aca="1" ref="CE28" ca="1">INDIRECT(CE$5&amp;$AR28+8)&amp;"-"&amp;1</f>
        <v>1302-1</v>
      </c>
      <c r="CF28" s="7" t="str" cm="1">
        <f t="array" aca="1" ref="CF28" ca="1">INDIRECT(CF$5&amp;$AR28+8)&amp;"-"&amp;2</f>
        <v>1302-2</v>
      </c>
      <c r="CG28" s="6" t="str" cm="1">
        <f t="array" aca="1" ref="CG28" ca="1">INDIRECT(CG$5&amp;$AR28+8)&amp;"-"&amp;1</f>
        <v>1301-1</v>
      </c>
      <c r="CH28" s="7" t="str" cm="1">
        <f t="array" aca="1" ref="CH28" ca="1">INDIRECT(CH$5&amp;$AR28+8)&amp;"-"&amp;2</f>
        <v>1301-2</v>
      </c>
      <c r="CI28" s="6" t="str" cm="1">
        <f t="array" aca="1" ref="CI28" ca="1">INDIRECT(CI$5&amp;$AR28+8)&amp;"-"&amp;1</f>
        <v>1300-1</v>
      </c>
      <c r="CJ28" s="7" t="str" cm="1">
        <f t="array" aca="1" ref="CJ28" ca="1">INDIRECT(CJ$5&amp;$AR28+8)&amp;"-"&amp;2</f>
        <v>1300-2</v>
      </c>
      <c r="CK28" s="6" t="str" cm="1">
        <f t="array" aca="1" ref="CK28" ca="1">INDIRECT(CK$5&amp;$AR28+8)&amp;"-"&amp;1</f>
        <v>1299-1</v>
      </c>
      <c r="CL28" s="7" t="str" cm="1">
        <f t="array" aca="1" ref="CL28" ca="1">INDIRECT(CL$5&amp;$AR28+8)&amp;"-"&amp;2</f>
        <v>1299-2</v>
      </c>
      <c r="CM28" s="6" t="str" cm="1">
        <f t="array" aca="1" ref="CM28" ca="1">INDIRECT(CM$5&amp;$AR28+8)&amp;"-"&amp;1</f>
        <v>1298-1</v>
      </c>
      <c r="CN28" s="7" t="str" cm="1">
        <f t="array" aca="1" ref="CN28" ca="1">INDIRECT(CN$5&amp;$AR28+8)&amp;"-"&amp;2</f>
        <v>1298-2</v>
      </c>
      <c r="CO28" s="6" t="str" cm="1">
        <f t="array" aca="1" ref="CO28" ca="1">INDIRECT(CO$5&amp;$AR28+8)&amp;"-"&amp;1</f>
        <v>1297-1</v>
      </c>
      <c r="CP28" s="7" t="str" cm="1">
        <f t="array" aca="1" ref="CP28" ca="1">INDIRECT(CP$5&amp;$AR28+8)&amp;"-"&amp;2</f>
        <v>1297-2</v>
      </c>
      <c r="CQ28" s="6" t="str" cm="1">
        <f t="array" aca="1" ref="CQ28" ca="1">INDIRECT(CQ$5&amp;$AR28+8)&amp;"-"&amp;1</f>
        <v>1296-1</v>
      </c>
      <c r="CR28" s="7" t="str" cm="1">
        <f t="array" aca="1" ref="CR28" ca="1">INDIRECT(CR$5&amp;$AR28+8)&amp;"-"&amp;2</f>
        <v>1296-2</v>
      </c>
      <c r="CS28" s="6" t="str" cm="1">
        <f t="array" aca="1" ref="CS28" ca="1">INDIRECT(CS$5&amp;$AR28+8)&amp;"-"&amp;1</f>
        <v>1295-1</v>
      </c>
      <c r="CT28" s="7" t="str" cm="1">
        <f t="array" aca="1" ref="CT28" ca="1">INDIRECT(CT$5&amp;$AR28+8)&amp;"-"&amp;2</f>
        <v>1295-2</v>
      </c>
      <c r="CU28" s="6" t="str" cm="1">
        <f t="array" aca="1" ref="CU28" ca="1">INDIRECT(CU$5&amp;$AR28+8)&amp;"-"&amp;1</f>
        <v>1294-1</v>
      </c>
      <c r="CV28" s="7" t="str" cm="1">
        <f t="array" aca="1" ref="CV28" ca="1">INDIRECT(CV$5&amp;$AR28+8)&amp;"-"&amp;2</f>
        <v>1294-2</v>
      </c>
      <c r="CW28" s="6" t="str" cm="1">
        <f t="array" aca="1" ref="CW28" ca="1">INDIRECT(CW$5&amp;$AR28+8)&amp;"-"&amp;1</f>
        <v>1293-1</v>
      </c>
      <c r="CX28" s="7" t="str" cm="1">
        <f t="array" aca="1" ref="CX28" ca="1">INDIRECT(CX$5&amp;$AR28+8)&amp;"-"&amp;2</f>
        <v>1293-2</v>
      </c>
      <c r="CY28" s="6" t="str" cm="1">
        <f t="array" aca="1" ref="CY28" ca="1">INDIRECT(CY$5&amp;$AR28+8)&amp;"-"&amp;1</f>
        <v>1292-1</v>
      </c>
      <c r="CZ28" s="7" t="str" cm="1">
        <f t="array" aca="1" ref="CZ28" ca="1">INDIRECT(CZ$5&amp;$AR28+8)&amp;"-"&amp;2</f>
        <v>1292-2</v>
      </c>
      <c r="DA28" s="6" t="str" cm="1">
        <f t="array" aca="1" ref="DA28" ca="1">INDIRECT(DA$5&amp;$AR28+8)&amp;"-"&amp;1</f>
        <v>1291-1</v>
      </c>
      <c r="DB28" s="7" t="str" cm="1">
        <f t="array" aca="1" ref="DB28" ca="1">INDIRECT(DB$5&amp;$AR28+8)&amp;"-"&amp;2</f>
        <v>1291-2</v>
      </c>
      <c r="DC28" s="6" t="str" cm="1">
        <f t="array" aca="1" ref="DC28" ca="1">INDIRECT(DC$5&amp;$AR28+8)&amp;"-"&amp;1</f>
        <v>1290-1</v>
      </c>
      <c r="DD28" s="7" t="str" cm="1">
        <f t="array" aca="1" ref="DD28" ca="1">INDIRECT(DD$5&amp;$AR28+8)&amp;"-"&amp;2</f>
        <v>1290-2</v>
      </c>
      <c r="DE28" s="6" t="str" cm="1">
        <f t="array" aca="1" ref="DE28" ca="1">INDIRECT(DE$5&amp;$AR28+8)&amp;"-"&amp;1</f>
        <v>1289-1</v>
      </c>
      <c r="DF28" s="7" t="str" cm="1">
        <f t="array" aca="1" ref="DF28" ca="1">INDIRECT(DF$5&amp;$AR28+8)&amp;"-"&amp;2</f>
        <v>1289-2</v>
      </c>
      <c r="DG28" s="25" t="str" cm="1">
        <f t="array" aca="1" ref="DG28" ca="1">INDIRECT(DG$5&amp;$AR28+8)</f>
        <v>Border</v>
      </c>
      <c r="DH28" s="25" t="str" cm="1">
        <f t="array" aca="1" ref="DH28" ca="1">INDIRECT(DH$5&amp;$AR28+8)</f>
        <v>Border</v>
      </c>
    </row>
    <row r="29" spans="1:112" ht="40.049999999999997" customHeight="1" x14ac:dyDescent="0.45">
      <c r="A29" s="2"/>
      <c r="B29" s="3">
        <v>21</v>
      </c>
      <c r="C29" s="11" t="s">
        <v>9</v>
      </c>
      <c r="D29" s="5">
        <f t="shared" ref="D29:R29" si="21">E29+1</f>
        <v>2320</v>
      </c>
      <c r="E29" s="5">
        <f t="shared" si="21"/>
        <v>2319</v>
      </c>
      <c r="F29" s="5">
        <f t="shared" si="21"/>
        <v>2318</v>
      </c>
      <c r="G29" s="5">
        <f t="shared" si="21"/>
        <v>2317</v>
      </c>
      <c r="H29" s="5">
        <f t="shared" si="21"/>
        <v>2316</v>
      </c>
      <c r="I29" s="5">
        <f t="shared" si="21"/>
        <v>2315</v>
      </c>
      <c r="J29" s="5">
        <f t="shared" si="21"/>
        <v>2314</v>
      </c>
      <c r="K29" s="5">
        <f t="shared" si="21"/>
        <v>2313</v>
      </c>
      <c r="L29" s="5">
        <f t="shared" si="21"/>
        <v>2312</v>
      </c>
      <c r="M29" s="5">
        <f t="shared" si="21"/>
        <v>2311</v>
      </c>
      <c r="N29" s="5">
        <f t="shared" si="21"/>
        <v>2310</v>
      </c>
      <c r="O29" s="5">
        <f t="shared" si="21"/>
        <v>2309</v>
      </c>
      <c r="P29" s="5">
        <f t="shared" si="21"/>
        <v>2308</v>
      </c>
      <c r="Q29" s="5">
        <f t="shared" si="21"/>
        <v>2307</v>
      </c>
      <c r="R29" s="5">
        <f t="shared" si="21"/>
        <v>2306</v>
      </c>
      <c r="S29" s="5">
        <f t="array" ref="S29">D28+1</f>
        <v>2305</v>
      </c>
      <c r="T29" s="4">
        <f t="shared" si="20"/>
        <v>1320</v>
      </c>
      <c r="U29" s="4">
        <f t="shared" si="20"/>
        <v>1319</v>
      </c>
      <c r="V29" s="4">
        <f t="shared" si="20"/>
        <v>1318</v>
      </c>
      <c r="W29" s="4">
        <f t="shared" si="20"/>
        <v>1317</v>
      </c>
      <c r="X29" s="4">
        <f t="shared" si="20"/>
        <v>1316</v>
      </c>
      <c r="Y29" s="4">
        <f t="shared" si="20"/>
        <v>1315</v>
      </c>
      <c r="Z29" s="4">
        <f t="shared" si="20"/>
        <v>1314</v>
      </c>
      <c r="AA29" s="4">
        <f t="shared" si="20"/>
        <v>1313</v>
      </c>
      <c r="AB29" s="4">
        <f t="shared" si="20"/>
        <v>1312</v>
      </c>
      <c r="AC29" s="4">
        <f t="shared" si="20"/>
        <v>1311</v>
      </c>
      <c r="AD29" s="4">
        <f t="shared" si="20"/>
        <v>1310</v>
      </c>
      <c r="AE29" s="4">
        <f t="shared" si="20"/>
        <v>1309</v>
      </c>
      <c r="AF29" s="4">
        <f t="shared" si="20"/>
        <v>1308</v>
      </c>
      <c r="AG29" s="4">
        <f t="shared" si="20"/>
        <v>1307</v>
      </c>
      <c r="AH29" s="4">
        <f t="shared" si="20"/>
        <v>1306</v>
      </c>
      <c r="AI29" s="4">
        <f t="shared" si="3"/>
        <v>1305</v>
      </c>
      <c r="AJ29" s="11" t="s">
        <v>9</v>
      </c>
      <c r="AQ29" s="2"/>
      <c r="AR29" s="3">
        <v>21</v>
      </c>
      <c r="AS29" s="22" t="str" cm="1">
        <f t="array" aca="1" ref="AS29" ca="1">INDIRECT(AS$5&amp;$AR29+8)</f>
        <v>Border</v>
      </c>
      <c r="AT29" s="23" t="str" cm="1">
        <f t="array" aca="1" ref="AT29" ca="1">INDIRECT(AT$5&amp;$AR29+8)</f>
        <v>Border</v>
      </c>
      <c r="AU29" s="8" t="str" cm="1">
        <f t="array" aca="1" ref="AU29" ca="1">INDIRECT(AU$5&amp;$AR29+8)&amp;"-"&amp;1</f>
        <v>2320-1</v>
      </c>
      <c r="AV29" s="9" t="str" cm="1">
        <f t="array" aca="1" ref="AV29" ca="1">INDIRECT(AV$5&amp;$AR29+8)&amp;"-"&amp;2</f>
        <v>2320-2</v>
      </c>
      <c r="AW29" s="8" t="str" cm="1">
        <f t="array" aca="1" ref="AW29" ca="1">INDIRECT(AW$5&amp;$AR29+8)&amp;"-"&amp;1</f>
        <v>2319-1</v>
      </c>
      <c r="AX29" s="9" t="str" cm="1">
        <f t="array" aca="1" ref="AX29" ca="1">INDIRECT(AX$5&amp;$AR29+8)&amp;"-"&amp;2</f>
        <v>2319-2</v>
      </c>
      <c r="AY29" s="8" t="str" cm="1">
        <f t="array" aca="1" ref="AY29" ca="1">INDIRECT(AY$5&amp;$AR29+8)&amp;"-"&amp;1</f>
        <v>2318-1</v>
      </c>
      <c r="AZ29" s="9" t="str" cm="1">
        <f t="array" aca="1" ref="AZ29" ca="1">INDIRECT(AZ$5&amp;$AR29+8)&amp;"-"&amp;2</f>
        <v>2318-2</v>
      </c>
      <c r="BA29" s="8" t="str" cm="1">
        <f t="array" aca="1" ref="BA29" ca="1">INDIRECT(BA$5&amp;$AR29+8)&amp;"-"&amp;1</f>
        <v>2317-1</v>
      </c>
      <c r="BB29" s="9" t="str" cm="1">
        <f t="array" aca="1" ref="BB29" ca="1">INDIRECT(BB$5&amp;$AR29+8)&amp;"-"&amp;2</f>
        <v>2317-2</v>
      </c>
      <c r="BC29" s="8" t="str" cm="1">
        <f t="array" aca="1" ref="BC29" ca="1">INDIRECT(BC$5&amp;$AR29+8)&amp;"-"&amp;1</f>
        <v>2316-1</v>
      </c>
      <c r="BD29" s="9" t="str" cm="1">
        <f t="array" aca="1" ref="BD29" ca="1">INDIRECT(BD$5&amp;$AR29+8)&amp;"-"&amp;2</f>
        <v>2316-2</v>
      </c>
      <c r="BE29" s="8" t="str" cm="1">
        <f t="array" aca="1" ref="BE29" ca="1">INDIRECT(BE$5&amp;$AR29+8)&amp;"-"&amp;1</f>
        <v>2315-1</v>
      </c>
      <c r="BF29" s="9" t="str" cm="1">
        <f t="array" aca="1" ref="BF29" ca="1">INDIRECT(BF$5&amp;$AR29+8)&amp;"-"&amp;2</f>
        <v>2315-2</v>
      </c>
      <c r="BG29" s="8" t="str" cm="1">
        <f t="array" aca="1" ref="BG29" ca="1">INDIRECT(BG$5&amp;$AR29+8)&amp;"-"&amp;1</f>
        <v>2314-1</v>
      </c>
      <c r="BH29" s="9" t="str" cm="1">
        <f t="array" aca="1" ref="BH29" ca="1">INDIRECT(BH$5&amp;$AR29+8)&amp;"-"&amp;2</f>
        <v>2314-2</v>
      </c>
      <c r="BI29" s="8" t="str" cm="1">
        <f t="array" aca="1" ref="BI29" ca="1">INDIRECT(BI$5&amp;$AR29+8)&amp;"-"&amp;1</f>
        <v>2313-1</v>
      </c>
      <c r="BJ29" s="9" t="str" cm="1">
        <f t="array" aca="1" ref="BJ29" ca="1">INDIRECT(BJ$5&amp;$AR29+8)&amp;"-"&amp;2</f>
        <v>2313-2</v>
      </c>
      <c r="BK29" s="8" t="str" cm="1">
        <f t="array" aca="1" ref="BK29" ca="1">INDIRECT(BK$5&amp;$AR29+8)&amp;"-"&amp;1</f>
        <v>2312-1</v>
      </c>
      <c r="BL29" s="9" t="str" cm="1">
        <f t="array" aca="1" ref="BL29" ca="1">INDIRECT(BL$5&amp;$AR29+8)&amp;"-"&amp;2</f>
        <v>2312-2</v>
      </c>
      <c r="BM29" s="8" t="str" cm="1">
        <f t="array" aca="1" ref="BM29" ca="1">INDIRECT(BM$5&amp;$AR29+8)&amp;"-"&amp;1</f>
        <v>2311-1</v>
      </c>
      <c r="BN29" s="9" t="str" cm="1">
        <f t="array" aca="1" ref="BN29" ca="1">INDIRECT(BN$5&amp;$AR29+8)&amp;"-"&amp;2</f>
        <v>2311-2</v>
      </c>
      <c r="BO29" s="8" t="str" cm="1">
        <f t="array" aca="1" ref="BO29" ca="1">INDIRECT(BO$5&amp;$AR29+8)&amp;"-"&amp;1</f>
        <v>2310-1</v>
      </c>
      <c r="BP29" s="9" t="str" cm="1">
        <f t="array" aca="1" ref="BP29" ca="1">INDIRECT(BP$5&amp;$AR29+8)&amp;"-"&amp;2</f>
        <v>2310-2</v>
      </c>
      <c r="BQ29" s="8" t="str" cm="1">
        <f t="array" aca="1" ref="BQ29" ca="1">INDIRECT(BQ$5&amp;$AR29+8)&amp;"-"&amp;1</f>
        <v>2309-1</v>
      </c>
      <c r="BR29" s="9" t="str" cm="1">
        <f t="array" aca="1" ref="BR29" ca="1">INDIRECT(BR$5&amp;$AR29+8)&amp;"-"&amp;2</f>
        <v>2309-2</v>
      </c>
      <c r="BS29" s="8" t="str" cm="1">
        <f t="array" aca="1" ref="BS29" ca="1">INDIRECT(BS$5&amp;$AR29+8)&amp;"-"&amp;1</f>
        <v>2308-1</v>
      </c>
      <c r="BT29" s="9" t="str" cm="1">
        <f t="array" aca="1" ref="BT29" ca="1">INDIRECT(BT$5&amp;$AR29+8)&amp;"-"&amp;2</f>
        <v>2308-2</v>
      </c>
      <c r="BU29" s="8" t="str" cm="1">
        <f t="array" aca="1" ref="BU29" ca="1">INDIRECT(BU$5&amp;$AR29+8)&amp;"-"&amp;1</f>
        <v>2307-1</v>
      </c>
      <c r="BV29" s="9" t="str" cm="1">
        <f t="array" aca="1" ref="BV29" ca="1">INDIRECT(BV$5&amp;$AR29+8)&amp;"-"&amp;2</f>
        <v>2307-2</v>
      </c>
      <c r="BW29" s="8" t="str" cm="1">
        <f t="array" aca="1" ref="BW29" ca="1">INDIRECT(BW$5&amp;$AR29+8)&amp;"-"&amp;1</f>
        <v>2306-1</v>
      </c>
      <c r="BX29" s="9" t="str" cm="1">
        <f t="array" aca="1" ref="BX29" ca="1">INDIRECT(BX$5&amp;$AR29+8)&amp;"-"&amp;2</f>
        <v>2306-2</v>
      </c>
      <c r="BY29" s="8" t="str" cm="1">
        <f t="array" aca="1" ref="BY29" ca="1">INDIRECT(BY$5&amp;$AR29+8)&amp;"-"&amp;1</f>
        <v>2305-1</v>
      </c>
      <c r="BZ29" s="9" t="str" cm="1">
        <f t="array" aca="1" ref="BZ29" ca="1">INDIRECT(BZ$5&amp;$AR29+8)&amp;"-"&amp;2</f>
        <v>2305-2</v>
      </c>
      <c r="CA29" s="6" t="str" cm="1">
        <f t="array" aca="1" ref="CA29" ca="1">INDIRECT(CA$5&amp;$AR29+8)&amp;"-"&amp;1</f>
        <v>1320-1</v>
      </c>
      <c r="CB29" s="7" t="str" cm="1">
        <f t="array" aca="1" ref="CB29" ca="1">INDIRECT(CB$5&amp;$AR29+8)&amp;"-"&amp;2</f>
        <v>1320-2</v>
      </c>
      <c r="CC29" s="6" t="str" cm="1">
        <f t="array" aca="1" ref="CC29" ca="1">INDIRECT(CC$5&amp;$AR29+8)&amp;"-"&amp;1</f>
        <v>1319-1</v>
      </c>
      <c r="CD29" s="7" t="str" cm="1">
        <f t="array" aca="1" ref="CD29" ca="1">INDIRECT(CD$5&amp;$AR29+8)&amp;"-"&amp;2</f>
        <v>1319-2</v>
      </c>
      <c r="CE29" s="6" t="str" cm="1">
        <f t="array" aca="1" ref="CE29" ca="1">INDIRECT(CE$5&amp;$AR29+8)&amp;"-"&amp;1</f>
        <v>1318-1</v>
      </c>
      <c r="CF29" s="7" t="str" cm="1">
        <f t="array" aca="1" ref="CF29" ca="1">INDIRECT(CF$5&amp;$AR29+8)&amp;"-"&amp;2</f>
        <v>1318-2</v>
      </c>
      <c r="CG29" s="6" t="str" cm="1">
        <f t="array" aca="1" ref="CG29" ca="1">INDIRECT(CG$5&amp;$AR29+8)&amp;"-"&amp;1</f>
        <v>1317-1</v>
      </c>
      <c r="CH29" s="7" t="str" cm="1">
        <f t="array" aca="1" ref="CH29" ca="1">INDIRECT(CH$5&amp;$AR29+8)&amp;"-"&amp;2</f>
        <v>1317-2</v>
      </c>
      <c r="CI29" s="6" t="str" cm="1">
        <f t="array" aca="1" ref="CI29" ca="1">INDIRECT(CI$5&amp;$AR29+8)&amp;"-"&amp;1</f>
        <v>1316-1</v>
      </c>
      <c r="CJ29" s="7" t="str" cm="1">
        <f t="array" aca="1" ref="CJ29" ca="1">INDIRECT(CJ$5&amp;$AR29+8)&amp;"-"&amp;2</f>
        <v>1316-2</v>
      </c>
      <c r="CK29" s="6" t="str" cm="1">
        <f t="array" aca="1" ref="CK29" ca="1">INDIRECT(CK$5&amp;$AR29+8)&amp;"-"&amp;1</f>
        <v>1315-1</v>
      </c>
      <c r="CL29" s="7" t="str" cm="1">
        <f t="array" aca="1" ref="CL29" ca="1">INDIRECT(CL$5&amp;$AR29+8)&amp;"-"&amp;2</f>
        <v>1315-2</v>
      </c>
      <c r="CM29" s="6" t="str" cm="1">
        <f t="array" aca="1" ref="CM29" ca="1">INDIRECT(CM$5&amp;$AR29+8)&amp;"-"&amp;1</f>
        <v>1314-1</v>
      </c>
      <c r="CN29" s="7" t="str" cm="1">
        <f t="array" aca="1" ref="CN29" ca="1">INDIRECT(CN$5&amp;$AR29+8)&amp;"-"&amp;2</f>
        <v>1314-2</v>
      </c>
      <c r="CO29" s="6" t="str" cm="1">
        <f t="array" aca="1" ref="CO29" ca="1">INDIRECT(CO$5&amp;$AR29+8)&amp;"-"&amp;1</f>
        <v>1313-1</v>
      </c>
      <c r="CP29" s="7" t="str" cm="1">
        <f t="array" aca="1" ref="CP29" ca="1">INDIRECT(CP$5&amp;$AR29+8)&amp;"-"&amp;2</f>
        <v>1313-2</v>
      </c>
      <c r="CQ29" s="6" t="str" cm="1">
        <f t="array" aca="1" ref="CQ29" ca="1">INDIRECT(CQ$5&amp;$AR29+8)&amp;"-"&amp;1</f>
        <v>1312-1</v>
      </c>
      <c r="CR29" s="7" t="str" cm="1">
        <f t="array" aca="1" ref="CR29" ca="1">INDIRECT(CR$5&amp;$AR29+8)&amp;"-"&amp;2</f>
        <v>1312-2</v>
      </c>
      <c r="CS29" s="6" t="str" cm="1">
        <f t="array" aca="1" ref="CS29" ca="1">INDIRECT(CS$5&amp;$AR29+8)&amp;"-"&amp;1</f>
        <v>1311-1</v>
      </c>
      <c r="CT29" s="7" t="str" cm="1">
        <f t="array" aca="1" ref="CT29" ca="1">INDIRECT(CT$5&amp;$AR29+8)&amp;"-"&amp;2</f>
        <v>1311-2</v>
      </c>
      <c r="CU29" s="6" t="str" cm="1">
        <f t="array" aca="1" ref="CU29" ca="1">INDIRECT(CU$5&amp;$AR29+8)&amp;"-"&amp;1</f>
        <v>1310-1</v>
      </c>
      <c r="CV29" s="7" t="str" cm="1">
        <f t="array" aca="1" ref="CV29" ca="1">INDIRECT(CV$5&amp;$AR29+8)&amp;"-"&amp;2</f>
        <v>1310-2</v>
      </c>
      <c r="CW29" s="6" t="str" cm="1">
        <f t="array" aca="1" ref="CW29" ca="1">INDIRECT(CW$5&amp;$AR29+8)&amp;"-"&amp;1</f>
        <v>1309-1</v>
      </c>
      <c r="CX29" s="7" t="str" cm="1">
        <f t="array" aca="1" ref="CX29" ca="1">INDIRECT(CX$5&amp;$AR29+8)&amp;"-"&amp;2</f>
        <v>1309-2</v>
      </c>
      <c r="CY29" s="6" t="str" cm="1">
        <f t="array" aca="1" ref="CY29" ca="1">INDIRECT(CY$5&amp;$AR29+8)&amp;"-"&amp;1</f>
        <v>1308-1</v>
      </c>
      <c r="CZ29" s="7" t="str" cm="1">
        <f t="array" aca="1" ref="CZ29" ca="1">INDIRECT(CZ$5&amp;$AR29+8)&amp;"-"&amp;2</f>
        <v>1308-2</v>
      </c>
      <c r="DA29" s="6" t="str" cm="1">
        <f t="array" aca="1" ref="DA29" ca="1">INDIRECT(DA$5&amp;$AR29+8)&amp;"-"&amp;1</f>
        <v>1307-1</v>
      </c>
      <c r="DB29" s="7" t="str" cm="1">
        <f t="array" aca="1" ref="DB29" ca="1">INDIRECT(DB$5&amp;$AR29+8)&amp;"-"&amp;2</f>
        <v>1307-2</v>
      </c>
      <c r="DC29" s="6" t="str" cm="1">
        <f t="array" aca="1" ref="DC29" ca="1">INDIRECT(DC$5&amp;$AR29+8)&amp;"-"&amp;1</f>
        <v>1306-1</v>
      </c>
      <c r="DD29" s="7" t="str" cm="1">
        <f t="array" aca="1" ref="DD29" ca="1">INDIRECT(DD$5&amp;$AR29+8)&amp;"-"&amp;2</f>
        <v>1306-2</v>
      </c>
      <c r="DE29" s="6" t="str" cm="1">
        <f t="array" aca="1" ref="DE29" ca="1">INDIRECT(DE$5&amp;$AR29+8)&amp;"-"&amp;1</f>
        <v>1305-1</v>
      </c>
      <c r="DF29" s="7" t="str" cm="1">
        <f t="array" aca="1" ref="DF29" ca="1">INDIRECT(DF$5&amp;$AR29+8)&amp;"-"&amp;2</f>
        <v>1305-2</v>
      </c>
      <c r="DG29" s="25" t="str" cm="1">
        <f t="array" aca="1" ref="DG29" ca="1">INDIRECT(DG$5&amp;$AR29+8)</f>
        <v>Border</v>
      </c>
      <c r="DH29" s="25" t="str" cm="1">
        <f t="array" aca="1" ref="DH29" ca="1">INDIRECT(DH$5&amp;$AR29+8)</f>
        <v>Border</v>
      </c>
    </row>
    <row r="30" spans="1:112" ht="40.049999999999997" customHeight="1" x14ac:dyDescent="0.45">
      <c r="A30" s="2"/>
      <c r="B30" s="3">
        <v>22</v>
      </c>
      <c r="C30" s="11" t="s">
        <v>9</v>
      </c>
      <c r="D30" s="5">
        <f t="shared" ref="D30:R30" si="22">E30+1</f>
        <v>2336</v>
      </c>
      <c r="E30" s="5">
        <f t="shared" si="22"/>
        <v>2335</v>
      </c>
      <c r="F30" s="5">
        <f t="shared" si="22"/>
        <v>2334</v>
      </c>
      <c r="G30" s="5">
        <f t="shared" si="22"/>
        <v>2333</v>
      </c>
      <c r="H30" s="5">
        <f t="shared" si="22"/>
        <v>2332</v>
      </c>
      <c r="I30" s="5">
        <f t="shared" si="22"/>
        <v>2331</v>
      </c>
      <c r="J30" s="5">
        <f t="shared" si="22"/>
        <v>2330</v>
      </c>
      <c r="K30" s="5">
        <f t="shared" si="22"/>
        <v>2329</v>
      </c>
      <c r="L30" s="5">
        <f t="shared" si="22"/>
        <v>2328</v>
      </c>
      <c r="M30" s="5">
        <f t="shared" si="22"/>
        <v>2327</v>
      </c>
      <c r="N30" s="5">
        <f t="shared" si="22"/>
        <v>2326</v>
      </c>
      <c r="O30" s="5">
        <f t="shared" si="22"/>
        <v>2325</v>
      </c>
      <c r="P30" s="5">
        <f t="shared" si="22"/>
        <v>2324</v>
      </c>
      <c r="Q30" s="5">
        <f t="shared" si="22"/>
        <v>2323</v>
      </c>
      <c r="R30" s="5">
        <f t="shared" si="22"/>
        <v>2322</v>
      </c>
      <c r="S30" s="5">
        <f t="array" ref="S30">D29+1</f>
        <v>2321</v>
      </c>
      <c r="T30" s="4">
        <f t="shared" si="20"/>
        <v>1336</v>
      </c>
      <c r="U30" s="4">
        <f t="shared" si="20"/>
        <v>1335</v>
      </c>
      <c r="V30" s="4">
        <f t="shared" si="20"/>
        <v>1334</v>
      </c>
      <c r="W30" s="4">
        <f t="shared" si="20"/>
        <v>1333</v>
      </c>
      <c r="X30" s="4">
        <f t="shared" si="20"/>
        <v>1332</v>
      </c>
      <c r="Y30" s="4">
        <f t="shared" si="20"/>
        <v>1331</v>
      </c>
      <c r="Z30" s="4">
        <f t="shared" si="20"/>
        <v>1330</v>
      </c>
      <c r="AA30" s="4">
        <f t="shared" si="20"/>
        <v>1329</v>
      </c>
      <c r="AB30" s="4">
        <f t="shared" si="20"/>
        <v>1328</v>
      </c>
      <c r="AC30" s="4">
        <f t="shared" ref="T30:AH34" si="23">AD30+1</f>
        <v>1327</v>
      </c>
      <c r="AD30" s="4">
        <f t="shared" si="23"/>
        <v>1326</v>
      </c>
      <c r="AE30" s="4">
        <f t="shared" si="23"/>
        <v>1325</v>
      </c>
      <c r="AF30" s="4">
        <f t="shared" si="23"/>
        <v>1324</v>
      </c>
      <c r="AG30" s="4">
        <f t="shared" si="23"/>
        <v>1323</v>
      </c>
      <c r="AH30" s="4">
        <f t="shared" si="23"/>
        <v>1322</v>
      </c>
      <c r="AI30" s="4">
        <f t="shared" si="3"/>
        <v>1321</v>
      </c>
      <c r="AJ30" s="11" t="s">
        <v>9</v>
      </c>
      <c r="AQ30" s="2"/>
      <c r="AR30" s="3">
        <v>22</v>
      </c>
      <c r="AS30" s="22" t="str" cm="1">
        <f t="array" aca="1" ref="AS30" ca="1">INDIRECT(AS$5&amp;$AR30+8)</f>
        <v>Border</v>
      </c>
      <c r="AT30" s="23" t="str" cm="1">
        <f t="array" aca="1" ref="AT30" ca="1">INDIRECT(AT$5&amp;$AR30+8)</f>
        <v>Border</v>
      </c>
      <c r="AU30" s="8" t="str" cm="1">
        <f t="array" aca="1" ref="AU30" ca="1">INDIRECT(AU$5&amp;$AR30+8)&amp;"-"&amp;1</f>
        <v>2336-1</v>
      </c>
      <c r="AV30" s="9" t="str" cm="1">
        <f t="array" aca="1" ref="AV30" ca="1">INDIRECT(AV$5&amp;$AR30+8)&amp;"-"&amp;2</f>
        <v>2336-2</v>
      </c>
      <c r="AW30" s="8" t="str" cm="1">
        <f t="array" aca="1" ref="AW30" ca="1">INDIRECT(AW$5&amp;$AR30+8)&amp;"-"&amp;1</f>
        <v>2335-1</v>
      </c>
      <c r="AX30" s="9" t="str" cm="1">
        <f t="array" aca="1" ref="AX30" ca="1">INDIRECT(AX$5&amp;$AR30+8)&amp;"-"&amp;2</f>
        <v>2335-2</v>
      </c>
      <c r="AY30" s="8" t="str" cm="1">
        <f t="array" aca="1" ref="AY30" ca="1">INDIRECT(AY$5&amp;$AR30+8)&amp;"-"&amp;1</f>
        <v>2334-1</v>
      </c>
      <c r="AZ30" s="9" t="str" cm="1">
        <f t="array" aca="1" ref="AZ30" ca="1">INDIRECT(AZ$5&amp;$AR30+8)&amp;"-"&amp;2</f>
        <v>2334-2</v>
      </c>
      <c r="BA30" s="8" t="str" cm="1">
        <f t="array" aca="1" ref="BA30" ca="1">INDIRECT(BA$5&amp;$AR30+8)&amp;"-"&amp;1</f>
        <v>2333-1</v>
      </c>
      <c r="BB30" s="9" t="str" cm="1">
        <f t="array" aca="1" ref="BB30" ca="1">INDIRECT(BB$5&amp;$AR30+8)&amp;"-"&amp;2</f>
        <v>2333-2</v>
      </c>
      <c r="BC30" s="8" t="str" cm="1">
        <f t="array" aca="1" ref="BC30" ca="1">INDIRECT(BC$5&amp;$AR30+8)&amp;"-"&amp;1</f>
        <v>2332-1</v>
      </c>
      <c r="BD30" s="9" t="str" cm="1">
        <f t="array" aca="1" ref="BD30" ca="1">INDIRECT(BD$5&amp;$AR30+8)&amp;"-"&amp;2</f>
        <v>2332-2</v>
      </c>
      <c r="BE30" s="8" t="str" cm="1">
        <f t="array" aca="1" ref="BE30" ca="1">INDIRECT(BE$5&amp;$AR30+8)&amp;"-"&amp;1</f>
        <v>2331-1</v>
      </c>
      <c r="BF30" s="9" t="str" cm="1">
        <f t="array" aca="1" ref="BF30" ca="1">INDIRECT(BF$5&amp;$AR30+8)&amp;"-"&amp;2</f>
        <v>2331-2</v>
      </c>
      <c r="BG30" s="8" t="str" cm="1">
        <f t="array" aca="1" ref="BG30" ca="1">INDIRECT(BG$5&amp;$AR30+8)&amp;"-"&amp;1</f>
        <v>2330-1</v>
      </c>
      <c r="BH30" s="9" t="str" cm="1">
        <f t="array" aca="1" ref="BH30" ca="1">INDIRECT(BH$5&amp;$AR30+8)&amp;"-"&amp;2</f>
        <v>2330-2</v>
      </c>
      <c r="BI30" s="8" t="str" cm="1">
        <f t="array" aca="1" ref="BI30" ca="1">INDIRECT(BI$5&amp;$AR30+8)&amp;"-"&amp;1</f>
        <v>2329-1</v>
      </c>
      <c r="BJ30" s="9" t="str" cm="1">
        <f t="array" aca="1" ref="BJ30" ca="1">INDIRECT(BJ$5&amp;$AR30+8)&amp;"-"&amp;2</f>
        <v>2329-2</v>
      </c>
      <c r="BK30" s="8" t="str" cm="1">
        <f t="array" aca="1" ref="BK30" ca="1">INDIRECT(BK$5&amp;$AR30+8)&amp;"-"&amp;1</f>
        <v>2328-1</v>
      </c>
      <c r="BL30" s="9" t="str" cm="1">
        <f t="array" aca="1" ref="BL30" ca="1">INDIRECT(BL$5&amp;$AR30+8)&amp;"-"&amp;2</f>
        <v>2328-2</v>
      </c>
      <c r="BM30" s="8" t="str" cm="1">
        <f t="array" aca="1" ref="BM30" ca="1">INDIRECT(BM$5&amp;$AR30+8)&amp;"-"&amp;1</f>
        <v>2327-1</v>
      </c>
      <c r="BN30" s="9" t="str" cm="1">
        <f t="array" aca="1" ref="BN30" ca="1">INDIRECT(BN$5&amp;$AR30+8)&amp;"-"&amp;2</f>
        <v>2327-2</v>
      </c>
      <c r="BO30" s="8" t="str" cm="1">
        <f t="array" aca="1" ref="BO30" ca="1">INDIRECT(BO$5&amp;$AR30+8)&amp;"-"&amp;1</f>
        <v>2326-1</v>
      </c>
      <c r="BP30" s="9" t="str" cm="1">
        <f t="array" aca="1" ref="BP30" ca="1">INDIRECT(BP$5&amp;$AR30+8)&amp;"-"&amp;2</f>
        <v>2326-2</v>
      </c>
      <c r="BQ30" s="8" t="str" cm="1">
        <f t="array" aca="1" ref="BQ30" ca="1">INDIRECT(BQ$5&amp;$AR30+8)&amp;"-"&amp;1</f>
        <v>2325-1</v>
      </c>
      <c r="BR30" s="9" t="str" cm="1">
        <f t="array" aca="1" ref="BR30" ca="1">INDIRECT(BR$5&amp;$AR30+8)&amp;"-"&amp;2</f>
        <v>2325-2</v>
      </c>
      <c r="BS30" s="8" t="str" cm="1">
        <f t="array" aca="1" ref="BS30" ca="1">INDIRECT(BS$5&amp;$AR30+8)&amp;"-"&amp;1</f>
        <v>2324-1</v>
      </c>
      <c r="BT30" s="9" t="str" cm="1">
        <f t="array" aca="1" ref="BT30" ca="1">INDIRECT(BT$5&amp;$AR30+8)&amp;"-"&amp;2</f>
        <v>2324-2</v>
      </c>
      <c r="BU30" s="8" t="str" cm="1">
        <f t="array" aca="1" ref="BU30" ca="1">INDIRECT(BU$5&amp;$AR30+8)&amp;"-"&amp;1</f>
        <v>2323-1</v>
      </c>
      <c r="BV30" s="9" t="str" cm="1">
        <f t="array" aca="1" ref="BV30" ca="1">INDIRECT(BV$5&amp;$AR30+8)&amp;"-"&amp;2</f>
        <v>2323-2</v>
      </c>
      <c r="BW30" s="8" t="str" cm="1">
        <f t="array" aca="1" ref="BW30" ca="1">INDIRECT(BW$5&amp;$AR30+8)&amp;"-"&amp;1</f>
        <v>2322-1</v>
      </c>
      <c r="BX30" s="9" t="str" cm="1">
        <f t="array" aca="1" ref="BX30" ca="1">INDIRECT(BX$5&amp;$AR30+8)&amp;"-"&amp;2</f>
        <v>2322-2</v>
      </c>
      <c r="BY30" s="8" t="str" cm="1">
        <f t="array" aca="1" ref="BY30" ca="1">INDIRECT(BY$5&amp;$AR30+8)&amp;"-"&amp;1</f>
        <v>2321-1</v>
      </c>
      <c r="BZ30" s="9" t="str" cm="1">
        <f t="array" aca="1" ref="BZ30" ca="1">INDIRECT(BZ$5&amp;$AR30+8)&amp;"-"&amp;2</f>
        <v>2321-2</v>
      </c>
      <c r="CA30" s="6" t="str" cm="1">
        <f t="array" aca="1" ref="CA30" ca="1">INDIRECT(CA$5&amp;$AR30+8)&amp;"-"&amp;1</f>
        <v>1336-1</v>
      </c>
      <c r="CB30" s="7" t="str" cm="1">
        <f t="array" aca="1" ref="CB30" ca="1">INDIRECT(CB$5&amp;$AR30+8)&amp;"-"&amp;2</f>
        <v>1336-2</v>
      </c>
      <c r="CC30" s="6" t="str" cm="1">
        <f t="array" aca="1" ref="CC30" ca="1">INDIRECT(CC$5&amp;$AR30+8)&amp;"-"&amp;1</f>
        <v>1335-1</v>
      </c>
      <c r="CD30" s="7" t="str" cm="1">
        <f t="array" aca="1" ref="CD30" ca="1">INDIRECT(CD$5&amp;$AR30+8)&amp;"-"&amp;2</f>
        <v>1335-2</v>
      </c>
      <c r="CE30" s="6" t="str" cm="1">
        <f t="array" aca="1" ref="CE30" ca="1">INDIRECT(CE$5&amp;$AR30+8)&amp;"-"&amp;1</f>
        <v>1334-1</v>
      </c>
      <c r="CF30" s="7" t="str" cm="1">
        <f t="array" aca="1" ref="CF30" ca="1">INDIRECT(CF$5&amp;$AR30+8)&amp;"-"&amp;2</f>
        <v>1334-2</v>
      </c>
      <c r="CG30" s="6" t="str" cm="1">
        <f t="array" aca="1" ref="CG30" ca="1">INDIRECT(CG$5&amp;$AR30+8)&amp;"-"&amp;1</f>
        <v>1333-1</v>
      </c>
      <c r="CH30" s="7" t="str" cm="1">
        <f t="array" aca="1" ref="CH30" ca="1">INDIRECT(CH$5&amp;$AR30+8)&amp;"-"&amp;2</f>
        <v>1333-2</v>
      </c>
      <c r="CI30" s="6" t="str" cm="1">
        <f t="array" aca="1" ref="CI30" ca="1">INDIRECT(CI$5&amp;$AR30+8)&amp;"-"&amp;1</f>
        <v>1332-1</v>
      </c>
      <c r="CJ30" s="7" t="str" cm="1">
        <f t="array" aca="1" ref="CJ30" ca="1">INDIRECT(CJ$5&amp;$AR30+8)&amp;"-"&amp;2</f>
        <v>1332-2</v>
      </c>
      <c r="CK30" s="6" t="str" cm="1">
        <f t="array" aca="1" ref="CK30" ca="1">INDIRECT(CK$5&amp;$AR30+8)&amp;"-"&amp;1</f>
        <v>1331-1</v>
      </c>
      <c r="CL30" s="7" t="str" cm="1">
        <f t="array" aca="1" ref="CL30" ca="1">INDIRECT(CL$5&amp;$AR30+8)&amp;"-"&amp;2</f>
        <v>1331-2</v>
      </c>
      <c r="CM30" s="6" t="str" cm="1">
        <f t="array" aca="1" ref="CM30" ca="1">INDIRECT(CM$5&amp;$AR30+8)&amp;"-"&amp;1</f>
        <v>1330-1</v>
      </c>
      <c r="CN30" s="7" t="str" cm="1">
        <f t="array" aca="1" ref="CN30" ca="1">INDIRECT(CN$5&amp;$AR30+8)&amp;"-"&amp;2</f>
        <v>1330-2</v>
      </c>
      <c r="CO30" s="6" t="str" cm="1">
        <f t="array" aca="1" ref="CO30" ca="1">INDIRECT(CO$5&amp;$AR30+8)&amp;"-"&amp;1</f>
        <v>1329-1</v>
      </c>
      <c r="CP30" s="7" t="str" cm="1">
        <f t="array" aca="1" ref="CP30" ca="1">INDIRECT(CP$5&amp;$AR30+8)&amp;"-"&amp;2</f>
        <v>1329-2</v>
      </c>
      <c r="CQ30" s="6" t="str" cm="1">
        <f t="array" aca="1" ref="CQ30" ca="1">INDIRECT(CQ$5&amp;$AR30+8)&amp;"-"&amp;1</f>
        <v>1328-1</v>
      </c>
      <c r="CR30" s="7" t="str" cm="1">
        <f t="array" aca="1" ref="CR30" ca="1">INDIRECT(CR$5&amp;$AR30+8)&amp;"-"&amp;2</f>
        <v>1328-2</v>
      </c>
      <c r="CS30" s="6" t="str" cm="1">
        <f t="array" aca="1" ref="CS30" ca="1">INDIRECT(CS$5&amp;$AR30+8)&amp;"-"&amp;1</f>
        <v>1327-1</v>
      </c>
      <c r="CT30" s="7" t="str" cm="1">
        <f t="array" aca="1" ref="CT30" ca="1">INDIRECT(CT$5&amp;$AR30+8)&amp;"-"&amp;2</f>
        <v>1327-2</v>
      </c>
      <c r="CU30" s="6" t="str" cm="1">
        <f t="array" aca="1" ref="CU30" ca="1">INDIRECT(CU$5&amp;$AR30+8)&amp;"-"&amp;1</f>
        <v>1326-1</v>
      </c>
      <c r="CV30" s="7" t="str" cm="1">
        <f t="array" aca="1" ref="CV30" ca="1">INDIRECT(CV$5&amp;$AR30+8)&amp;"-"&amp;2</f>
        <v>1326-2</v>
      </c>
      <c r="CW30" s="6" t="str" cm="1">
        <f t="array" aca="1" ref="CW30" ca="1">INDIRECT(CW$5&amp;$AR30+8)&amp;"-"&amp;1</f>
        <v>1325-1</v>
      </c>
      <c r="CX30" s="7" t="str" cm="1">
        <f t="array" aca="1" ref="CX30" ca="1">INDIRECT(CX$5&amp;$AR30+8)&amp;"-"&amp;2</f>
        <v>1325-2</v>
      </c>
      <c r="CY30" s="6" t="str" cm="1">
        <f t="array" aca="1" ref="CY30" ca="1">INDIRECT(CY$5&amp;$AR30+8)&amp;"-"&amp;1</f>
        <v>1324-1</v>
      </c>
      <c r="CZ30" s="7" t="str" cm="1">
        <f t="array" aca="1" ref="CZ30" ca="1">INDIRECT(CZ$5&amp;$AR30+8)&amp;"-"&amp;2</f>
        <v>1324-2</v>
      </c>
      <c r="DA30" s="6" t="str" cm="1">
        <f t="array" aca="1" ref="DA30" ca="1">INDIRECT(DA$5&amp;$AR30+8)&amp;"-"&amp;1</f>
        <v>1323-1</v>
      </c>
      <c r="DB30" s="7" t="str" cm="1">
        <f t="array" aca="1" ref="DB30" ca="1">INDIRECT(DB$5&amp;$AR30+8)&amp;"-"&amp;2</f>
        <v>1323-2</v>
      </c>
      <c r="DC30" s="6" t="str" cm="1">
        <f t="array" aca="1" ref="DC30" ca="1">INDIRECT(DC$5&amp;$AR30+8)&amp;"-"&amp;1</f>
        <v>1322-1</v>
      </c>
      <c r="DD30" s="7" t="str" cm="1">
        <f t="array" aca="1" ref="DD30" ca="1">INDIRECT(DD$5&amp;$AR30+8)&amp;"-"&amp;2</f>
        <v>1322-2</v>
      </c>
      <c r="DE30" s="6" t="str" cm="1">
        <f t="array" aca="1" ref="DE30" ca="1">INDIRECT(DE$5&amp;$AR30+8)&amp;"-"&amp;1</f>
        <v>1321-1</v>
      </c>
      <c r="DF30" s="7" t="str" cm="1">
        <f t="array" aca="1" ref="DF30" ca="1">INDIRECT(DF$5&amp;$AR30+8)&amp;"-"&amp;2</f>
        <v>1321-2</v>
      </c>
      <c r="DG30" s="25" t="str" cm="1">
        <f t="array" aca="1" ref="DG30" ca="1">INDIRECT(DG$5&amp;$AR30+8)</f>
        <v>Border</v>
      </c>
      <c r="DH30" s="25" t="str" cm="1">
        <f t="array" aca="1" ref="DH30" ca="1">INDIRECT(DH$5&amp;$AR30+8)</f>
        <v>Border</v>
      </c>
    </row>
    <row r="31" spans="1:112" ht="40.049999999999997" customHeight="1" x14ac:dyDescent="0.45">
      <c r="A31" s="2"/>
      <c r="B31" s="3">
        <v>23</v>
      </c>
      <c r="C31" s="11" t="s">
        <v>9</v>
      </c>
      <c r="D31" s="5">
        <f t="shared" ref="D31:R31" si="24">E31+1</f>
        <v>2352</v>
      </c>
      <c r="E31" s="5">
        <f t="shared" si="24"/>
        <v>2351</v>
      </c>
      <c r="F31" s="5">
        <f t="shared" si="24"/>
        <v>2350</v>
      </c>
      <c r="G31" s="5">
        <f t="shared" si="24"/>
        <v>2349</v>
      </c>
      <c r="H31" s="5">
        <f t="shared" si="24"/>
        <v>2348</v>
      </c>
      <c r="I31" s="5">
        <f t="shared" si="24"/>
        <v>2347</v>
      </c>
      <c r="J31" s="5">
        <f t="shared" si="24"/>
        <v>2346</v>
      </c>
      <c r="K31" s="5">
        <f t="shared" si="24"/>
        <v>2345</v>
      </c>
      <c r="L31" s="5">
        <f t="shared" si="24"/>
        <v>2344</v>
      </c>
      <c r="M31" s="5">
        <f t="shared" si="24"/>
        <v>2343</v>
      </c>
      <c r="N31" s="5">
        <f t="shared" si="24"/>
        <v>2342</v>
      </c>
      <c r="O31" s="5">
        <f t="shared" si="24"/>
        <v>2341</v>
      </c>
      <c r="P31" s="5">
        <f t="shared" si="24"/>
        <v>2340</v>
      </c>
      <c r="Q31" s="5">
        <f t="shared" si="24"/>
        <v>2339</v>
      </c>
      <c r="R31" s="5">
        <f t="shared" si="24"/>
        <v>2338</v>
      </c>
      <c r="S31" s="5">
        <f t="array" ref="S31">D30+1</f>
        <v>2337</v>
      </c>
      <c r="T31" s="4">
        <f t="shared" si="23"/>
        <v>1352</v>
      </c>
      <c r="U31" s="4">
        <f t="shared" si="23"/>
        <v>1351</v>
      </c>
      <c r="V31" s="4">
        <f t="shared" si="23"/>
        <v>1350</v>
      </c>
      <c r="W31" s="4">
        <f t="shared" si="23"/>
        <v>1349</v>
      </c>
      <c r="X31" s="4">
        <f t="shared" si="23"/>
        <v>1348</v>
      </c>
      <c r="Y31" s="4">
        <f t="shared" si="23"/>
        <v>1347</v>
      </c>
      <c r="Z31" s="4">
        <f t="shared" si="23"/>
        <v>1346</v>
      </c>
      <c r="AA31" s="4">
        <f t="shared" si="23"/>
        <v>1345</v>
      </c>
      <c r="AB31" s="4">
        <f t="shared" si="23"/>
        <v>1344</v>
      </c>
      <c r="AC31" s="4">
        <f t="shared" si="23"/>
        <v>1343</v>
      </c>
      <c r="AD31" s="4">
        <f t="shared" si="23"/>
        <v>1342</v>
      </c>
      <c r="AE31" s="4">
        <f t="shared" si="23"/>
        <v>1341</v>
      </c>
      <c r="AF31" s="4">
        <f t="shared" si="23"/>
        <v>1340</v>
      </c>
      <c r="AG31" s="4">
        <f t="shared" si="23"/>
        <v>1339</v>
      </c>
      <c r="AH31" s="4">
        <f t="shared" si="23"/>
        <v>1338</v>
      </c>
      <c r="AI31" s="4">
        <f t="shared" si="3"/>
        <v>1337</v>
      </c>
      <c r="AJ31" s="11" t="s">
        <v>9</v>
      </c>
      <c r="AQ31" s="2"/>
      <c r="AR31" s="3">
        <v>23</v>
      </c>
      <c r="AS31" s="22" t="str" cm="1">
        <f t="array" aca="1" ref="AS31" ca="1">INDIRECT(AS$5&amp;$AR31+8)</f>
        <v>Border</v>
      </c>
      <c r="AT31" s="23" t="str" cm="1">
        <f t="array" aca="1" ref="AT31" ca="1">INDIRECT(AT$5&amp;$AR31+8)</f>
        <v>Border</v>
      </c>
      <c r="AU31" s="8" t="str" cm="1">
        <f t="array" aca="1" ref="AU31" ca="1">INDIRECT(AU$5&amp;$AR31+8)&amp;"-"&amp;1</f>
        <v>2352-1</v>
      </c>
      <c r="AV31" s="9" t="str" cm="1">
        <f t="array" aca="1" ref="AV31" ca="1">INDIRECT(AV$5&amp;$AR31+8)&amp;"-"&amp;2</f>
        <v>2352-2</v>
      </c>
      <c r="AW31" s="8" t="str" cm="1">
        <f t="array" aca="1" ref="AW31" ca="1">INDIRECT(AW$5&amp;$AR31+8)&amp;"-"&amp;1</f>
        <v>2351-1</v>
      </c>
      <c r="AX31" s="9" t="str" cm="1">
        <f t="array" aca="1" ref="AX31" ca="1">INDIRECT(AX$5&amp;$AR31+8)&amp;"-"&amp;2</f>
        <v>2351-2</v>
      </c>
      <c r="AY31" s="8" t="str" cm="1">
        <f t="array" aca="1" ref="AY31" ca="1">INDIRECT(AY$5&amp;$AR31+8)&amp;"-"&amp;1</f>
        <v>2350-1</v>
      </c>
      <c r="AZ31" s="9" t="str" cm="1">
        <f t="array" aca="1" ref="AZ31" ca="1">INDIRECT(AZ$5&amp;$AR31+8)&amp;"-"&amp;2</f>
        <v>2350-2</v>
      </c>
      <c r="BA31" s="8" t="str" cm="1">
        <f t="array" aca="1" ref="BA31" ca="1">INDIRECT(BA$5&amp;$AR31+8)&amp;"-"&amp;1</f>
        <v>2349-1</v>
      </c>
      <c r="BB31" s="9" t="str" cm="1">
        <f t="array" aca="1" ref="BB31" ca="1">INDIRECT(BB$5&amp;$AR31+8)&amp;"-"&amp;2</f>
        <v>2349-2</v>
      </c>
      <c r="BC31" s="8" t="str" cm="1">
        <f t="array" aca="1" ref="BC31" ca="1">INDIRECT(BC$5&amp;$AR31+8)&amp;"-"&amp;1</f>
        <v>2348-1</v>
      </c>
      <c r="BD31" s="9" t="str" cm="1">
        <f t="array" aca="1" ref="BD31" ca="1">INDIRECT(BD$5&amp;$AR31+8)&amp;"-"&amp;2</f>
        <v>2348-2</v>
      </c>
      <c r="BE31" s="8" t="str" cm="1">
        <f t="array" aca="1" ref="BE31" ca="1">INDIRECT(BE$5&amp;$AR31+8)&amp;"-"&amp;1</f>
        <v>2347-1</v>
      </c>
      <c r="BF31" s="9" t="str" cm="1">
        <f t="array" aca="1" ref="BF31" ca="1">INDIRECT(BF$5&amp;$AR31+8)&amp;"-"&amp;2</f>
        <v>2347-2</v>
      </c>
      <c r="BG31" s="8" t="str" cm="1">
        <f t="array" aca="1" ref="BG31" ca="1">INDIRECT(BG$5&amp;$AR31+8)&amp;"-"&amp;1</f>
        <v>2346-1</v>
      </c>
      <c r="BH31" s="9" t="str" cm="1">
        <f t="array" aca="1" ref="BH31" ca="1">INDIRECT(BH$5&amp;$AR31+8)&amp;"-"&amp;2</f>
        <v>2346-2</v>
      </c>
      <c r="BI31" s="8" t="str" cm="1">
        <f t="array" aca="1" ref="BI31" ca="1">INDIRECT(BI$5&amp;$AR31+8)&amp;"-"&amp;1</f>
        <v>2345-1</v>
      </c>
      <c r="BJ31" s="9" t="str" cm="1">
        <f t="array" aca="1" ref="BJ31" ca="1">INDIRECT(BJ$5&amp;$AR31+8)&amp;"-"&amp;2</f>
        <v>2345-2</v>
      </c>
      <c r="BK31" s="8" t="str" cm="1">
        <f t="array" aca="1" ref="BK31" ca="1">INDIRECT(BK$5&amp;$AR31+8)&amp;"-"&amp;1</f>
        <v>2344-1</v>
      </c>
      <c r="BL31" s="9" t="str" cm="1">
        <f t="array" aca="1" ref="BL31" ca="1">INDIRECT(BL$5&amp;$AR31+8)&amp;"-"&amp;2</f>
        <v>2344-2</v>
      </c>
      <c r="BM31" s="8" t="str" cm="1">
        <f t="array" aca="1" ref="BM31" ca="1">INDIRECT(BM$5&amp;$AR31+8)&amp;"-"&amp;1</f>
        <v>2343-1</v>
      </c>
      <c r="BN31" s="9" t="str" cm="1">
        <f t="array" aca="1" ref="BN31" ca="1">INDIRECT(BN$5&amp;$AR31+8)&amp;"-"&amp;2</f>
        <v>2343-2</v>
      </c>
      <c r="BO31" s="8" t="str" cm="1">
        <f t="array" aca="1" ref="BO31" ca="1">INDIRECT(BO$5&amp;$AR31+8)&amp;"-"&amp;1</f>
        <v>2342-1</v>
      </c>
      <c r="BP31" s="9" t="str" cm="1">
        <f t="array" aca="1" ref="BP31" ca="1">INDIRECT(BP$5&amp;$AR31+8)&amp;"-"&amp;2</f>
        <v>2342-2</v>
      </c>
      <c r="BQ31" s="8" t="str" cm="1">
        <f t="array" aca="1" ref="BQ31" ca="1">INDIRECT(BQ$5&amp;$AR31+8)&amp;"-"&amp;1</f>
        <v>2341-1</v>
      </c>
      <c r="BR31" s="9" t="str" cm="1">
        <f t="array" aca="1" ref="BR31" ca="1">INDIRECT(BR$5&amp;$AR31+8)&amp;"-"&amp;2</f>
        <v>2341-2</v>
      </c>
      <c r="BS31" s="8" t="str" cm="1">
        <f t="array" aca="1" ref="BS31" ca="1">INDIRECT(BS$5&amp;$AR31+8)&amp;"-"&amp;1</f>
        <v>2340-1</v>
      </c>
      <c r="BT31" s="9" t="str" cm="1">
        <f t="array" aca="1" ref="BT31" ca="1">INDIRECT(BT$5&amp;$AR31+8)&amp;"-"&amp;2</f>
        <v>2340-2</v>
      </c>
      <c r="BU31" s="8" t="str" cm="1">
        <f t="array" aca="1" ref="BU31" ca="1">INDIRECT(BU$5&amp;$AR31+8)&amp;"-"&amp;1</f>
        <v>2339-1</v>
      </c>
      <c r="BV31" s="9" t="str" cm="1">
        <f t="array" aca="1" ref="BV31" ca="1">INDIRECT(BV$5&amp;$AR31+8)&amp;"-"&amp;2</f>
        <v>2339-2</v>
      </c>
      <c r="BW31" s="8" t="str" cm="1">
        <f t="array" aca="1" ref="BW31" ca="1">INDIRECT(BW$5&amp;$AR31+8)&amp;"-"&amp;1</f>
        <v>2338-1</v>
      </c>
      <c r="BX31" s="9" t="str" cm="1">
        <f t="array" aca="1" ref="BX31" ca="1">INDIRECT(BX$5&amp;$AR31+8)&amp;"-"&amp;2</f>
        <v>2338-2</v>
      </c>
      <c r="BY31" s="8" t="str" cm="1">
        <f t="array" aca="1" ref="BY31" ca="1">INDIRECT(BY$5&amp;$AR31+8)&amp;"-"&amp;1</f>
        <v>2337-1</v>
      </c>
      <c r="BZ31" s="9" t="str" cm="1">
        <f t="array" aca="1" ref="BZ31" ca="1">INDIRECT(BZ$5&amp;$AR31+8)&amp;"-"&amp;2</f>
        <v>2337-2</v>
      </c>
      <c r="CA31" s="6" t="str" cm="1">
        <f t="array" aca="1" ref="CA31" ca="1">INDIRECT(CA$5&amp;$AR31+8)&amp;"-"&amp;1</f>
        <v>1352-1</v>
      </c>
      <c r="CB31" s="7" t="str" cm="1">
        <f t="array" aca="1" ref="CB31" ca="1">INDIRECT(CB$5&amp;$AR31+8)&amp;"-"&amp;2</f>
        <v>1352-2</v>
      </c>
      <c r="CC31" s="6" t="str" cm="1">
        <f t="array" aca="1" ref="CC31" ca="1">INDIRECT(CC$5&amp;$AR31+8)&amp;"-"&amp;1</f>
        <v>1351-1</v>
      </c>
      <c r="CD31" s="7" t="str" cm="1">
        <f t="array" aca="1" ref="CD31" ca="1">INDIRECT(CD$5&amp;$AR31+8)&amp;"-"&amp;2</f>
        <v>1351-2</v>
      </c>
      <c r="CE31" s="6" t="str" cm="1">
        <f t="array" aca="1" ref="CE31" ca="1">INDIRECT(CE$5&amp;$AR31+8)&amp;"-"&amp;1</f>
        <v>1350-1</v>
      </c>
      <c r="CF31" s="7" t="str" cm="1">
        <f t="array" aca="1" ref="CF31" ca="1">INDIRECT(CF$5&amp;$AR31+8)&amp;"-"&amp;2</f>
        <v>1350-2</v>
      </c>
      <c r="CG31" s="6" t="str" cm="1">
        <f t="array" aca="1" ref="CG31" ca="1">INDIRECT(CG$5&amp;$AR31+8)&amp;"-"&amp;1</f>
        <v>1349-1</v>
      </c>
      <c r="CH31" s="7" t="str" cm="1">
        <f t="array" aca="1" ref="CH31" ca="1">INDIRECT(CH$5&amp;$AR31+8)&amp;"-"&amp;2</f>
        <v>1349-2</v>
      </c>
      <c r="CI31" s="6" t="str" cm="1">
        <f t="array" aca="1" ref="CI31" ca="1">INDIRECT(CI$5&amp;$AR31+8)&amp;"-"&amp;1</f>
        <v>1348-1</v>
      </c>
      <c r="CJ31" s="7" t="str" cm="1">
        <f t="array" aca="1" ref="CJ31" ca="1">INDIRECT(CJ$5&amp;$AR31+8)&amp;"-"&amp;2</f>
        <v>1348-2</v>
      </c>
      <c r="CK31" s="6" t="str" cm="1">
        <f t="array" aca="1" ref="CK31" ca="1">INDIRECT(CK$5&amp;$AR31+8)&amp;"-"&amp;1</f>
        <v>1347-1</v>
      </c>
      <c r="CL31" s="7" t="str" cm="1">
        <f t="array" aca="1" ref="CL31" ca="1">INDIRECT(CL$5&amp;$AR31+8)&amp;"-"&amp;2</f>
        <v>1347-2</v>
      </c>
      <c r="CM31" s="6" t="str" cm="1">
        <f t="array" aca="1" ref="CM31" ca="1">INDIRECT(CM$5&amp;$AR31+8)&amp;"-"&amp;1</f>
        <v>1346-1</v>
      </c>
      <c r="CN31" s="7" t="str" cm="1">
        <f t="array" aca="1" ref="CN31" ca="1">INDIRECT(CN$5&amp;$AR31+8)&amp;"-"&amp;2</f>
        <v>1346-2</v>
      </c>
      <c r="CO31" s="6" t="str" cm="1">
        <f t="array" aca="1" ref="CO31" ca="1">INDIRECT(CO$5&amp;$AR31+8)&amp;"-"&amp;1</f>
        <v>1345-1</v>
      </c>
      <c r="CP31" s="7" t="str" cm="1">
        <f t="array" aca="1" ref="CP31" ca="1">INDIRECT(CP$5&amp;$AR31+8)&amp;"-"&amp;2</f>
        <v>1345-2</v>
      </c>
      <c r="CQ31" s="6" t="str" cm="1">
        <f t="array" aca="1" ref="CQ31" ca="1">INDIRECT(CQ$5&amp;$AR31+8)&amp;"-"&amp;1</f>
        <v>1344-1</v>
      </c>
      <c r="CR31" s="7" t="str" cm="1">
        <f t="array" aca="1" ref="CR31" ca="1">INDIRECT(CR$5&amp;$AR31+8)&amp;"-"&amp;2</f>
        <v>1344-2</v>
      </c>
      <c r="CS31" s="6" t="str" cm="1">
        <f t="array" aca="1" ref="CS31" ca="1">INDIRECT(CS$5&amp;$AR31+8)&amp;"-"&amp;1</f>
        <v>1343-1</v>
      </c>
      <c r="CT31" s="7" t="str" cm="1">
        <f t="array" aca="1" ref="CT31" ca="1">INDIRECT(CT$5&amp;$AR31+8)&amp;"-"&amp;2</f>
        <v>1343-2</v>
      </c>
      <c r="CU31" s="6" t="str" cm="1">
        <f t="array" aca="1" ref="CU31" ca="1">INDIRECT(CU$5&amp;$AR31+8)&amp;"-"&amp;1</f>
        <v>1342-1</v>
      </c>
      <c r="CV31" s="7" t="str" cm="1">
        <f t="array" aca="1" ref="CV31" ca="1">INDIRECT(CV$5&amp;$AR31+8)&amp;"-"&amp;2</f>
        <v>1342-2</v>
      </c>
      <c r="CW31" s="6" t="str" cm="1">
        <f t="array" aca="1" ref="CW31" ca="1">INDIRECT(CW$5&amp;$AR31+8)&amp;"-"&amp;1</f>
        <v>1341-1</v>
      </c>
      <c r="CX31" s="7" t="str" cm="1">
        <f t="array" aca="1" ref="CX31" ca="1">INDIRECT(CX$5&amp;$AR31+8)&amp;"-"&amp;2</f>
        <v>1341-2</v>
      </c>
      <c r="CY31" s="6" t="str" cm="1">
        <f t="array" aca="1" ref="CY31" ca="1">INDIRECT(CY$5&amp;$AR31+8)&amp;"-"&amp;1</f>
        <v>1340-1</v>
      </c>
      <c r="CZ31" s="7" t="str" cm="1">
        <f t="array" aca="1" ref="CZ31" ca="1">INDIRECT(CZ$5&amp;$AR31+8)&amp;"-"&amp;2</f>
        <v>1340-2</v>
      </c>
      <c r="DA31" s="6" t="str" cm="1">
        <f t="array" aca="1" ref="DA31" ca="1">INDIRECT(DA$5&amp;$AR31+8)&amp;"-"&amp;1</f>
        <v>1339-1</v>
      </c>
      <c r="DB31" s="7" t="str" cm="1">
        <f t="array" aca="1" ref="DB31" ca="1">INDIRECT(DB$5&amp;$AR31+8)&amp;"-"&amp;2</f>
        <v>1339-2</v>
      </c>
      <c r="DC31" s="6" t="str" cm="1">
        <f t="array" aca="1" ref="DC31" ca="1">INDIRECT(DC$5&amp;$AR31+8)&amp;"-"&amp;1</f>
        <v>1338-1</v>
      </c>
      <c r="DD31" s="7" t="str" cm="1">
        <f t="array" aca="1" ref="DD31" ca="1">INDIRECT(DD$5&amp;$AR31+8)&amp;"-"&amp;2</f>
        <v>1338-2</v>
      </c>
      <c r="DE31" s="6" t="str" cm="1">
        <f t="array" aca="1" ref="DE31" ca="1">INDIRECT(DE$5&amp;$AR31+8)&amp;"-"&amp;1</f>
        <v>1337-1</v>
      </c>
      <c r="DF31" s="7" t="str" cm="1">
        <f t="array" aca="1" ref="DF31" ca="1">INDIRECT(DF$5&amp;$AR31+8)&amp;"-"&amp;2</f>
        <v>1337-2</v>
      </c>
      <c r="DG31" s="25" t="str" cm="1">
        <f t="array" aca="1" ref="DG31" ca="1">INDIRECT(DG$5&amp;$AR31+8)</f>
        <v>Border</v>
      </c>
      <c r="DH31" s="25" t="str" cm="1">
        <f t="array" aca="1" ref="DH31" ca="1">INDIRECT(DH$5&amp;$AR31+8)</f>
        <v>Border</v>
      </c>
    </row>
    <row r="32" spans="1:112" ht="40.049999999999997" customHeight="1" x14ac:dyDescent="0.45">
      <c r="A32" s="2"/>
      <c r="B32" s="3">
        <v>24</v>
      </c>
      <c r="C32" s="11" t="s">
        <v>9</v>
      </c>
      <c r="D32" s="5">
        <f t="shared" ref="D32:R32" si="25">E32+1</f>
        <v>2368</v>
      </c>
      <c r="E32" s="5">
        <f t="shared" si="25"/>
        <v>2367</v>
      </c>
      <c r="F32" s="5">
        <f t="shared" si="25"/>
        <v>2366</v>
      </c>
      <c r="G32" s="5">
        <f t="shared" si="25"/>
        <v>2365</v>
      </c>
      <c r="H32" s="5">
        <f t="shared" si="25"/>
        <v>2364</v>
      </c>
      <c r="I32" s="5">
        <f t="shared" si="25"/>
        <v>2363</v>
      </c>
      <c r="J32" s="5">
        <f t="shared" si="25"/>
        <v>2362</v>
      </c>
      <c r="K32" s="5">
        <f t="shared" si="25"/>
        <v>2361</v>
      </c>
      <c r="L32" s="5">
        <f t="shared" si="25"/>
        <v>2360</v>
      </c>
      <c r="M32" s="5">
        <f t="shared" si="25"/>
        <v>2359</v>
      </c>
      <c r="N32" s="5">
        <f t="shared" si="25"/>
        <v>2358</v>
      </c>
      <c r="O32" s="5">
        <f t="shared" si="25"/>
        <v>2357</v>
      </c>
      <c r="P32" s="5">
        <f t="shared" si="25"/>
        <v>2356</v>
      </c>
      <c r="Q32" s="5">
        <f t="shared" si="25"/>
        <v>2355</v>
      </c>
      <c r="R32" s="5">
        <f t="shared" si="25"/>
        <v>2354</v>
      </c>
      <c r="S32" s="5">
        <f t="array" ref="S32">D31+1</f>
        <v>2353</v>
      </c>
      <c r="T32" s="4">
        <f t="shared" si="23"/>
        <v>1368</v>
      </c>
      <c r="U32" s="4">
        <f t="shared" si="23"/>
        <v>1367</v>
      </c>
      <c r="V32" s="4">
        <f t="shared" si="23"/>
        <v>1366</v>
      </c>
      <c r="W32" s="4">
        <f t="shared" si="23"/>
        <v>1365</v>
      </c>
      <c r="X32" s="4">
        <f t="shared" si="23"/>
        <v>1364</v>
      </c>
      <c r="Y32" s="4">
        <f t="shared" si="23"/>
        <v>1363</v>
      </c>
      <c r="Z32" s="4">
        <f t="shared" si="23"/>
        <v>1362</v>
      </c>
      <c r="AA32" s="4">
        <f t="shared" si="23"/>
        <v>1361</v>
      </c>
      <c r="AB32" s="4">
        <f t="shared" si="23"/>
        <v>1360</v>
      </c>
      <c r="AC32" s="4">
        <f t="shared" si="23"/>
        <v>1359</v>
      </c>
      <c r="AD32" s="4">
        <f t="shared" si="23"/>
        <v>1358</v>
      </c>
      <c r="AE32" s="4">
        <f t="shared" si="23"/>
        <v>1357</v>
      </c>
      <c r="AF32" s="4">
        <f t="shared" si="23"/>
        <v>1356</v>
      </c>
      <c r="AG32" s="4">
        <f t="shared" si="23"/>
        <v>1355</v>
      </c>
      <c r="AH32" s="4">
        <f t="shared" si="23"/>
        <v>1354</v>
      </c>
      <c r="AI32" s="4">
        <f t="shared" si="3"/>
        <v>1353</v>
      </c>
      <c r="AJ32" s="11" t="s">
        <v>9</v>
      </c>
      <c r="AQ32" s="2"/>
      <c r="AR32" s="3">
        <v>24</v>
      </c>
      <c r="AS32" s="22" t="str" cm="1">
        <f t="array" aca="1" ref="AS32" ca="1">INDIRECT(AS$5&amp;$AR32+8)</f>
        <v>Border</v>
      </c>
      <c r="AT32" s="23" t="str" cm="1">
        <f t="array" aca="1" ref="AT32" ca="1">INDIRECT(AT$5&amp;$AR32+8)</f>
        <v>Border</v>
      </c>
      <c r="AU32" s="8" t="str" cm="1">
        <f t="array" aca="1" ref="AU32" ca="1">INDIRECT(AU$5&amp;$AR32+8)&amp;"-"&amp;1</f>
        <v>2368-1</v>
      </c>
      <c r="AV32" s="9" t="str" cm="1">
        <f t="array" aca="1" ref="AV32" ca="1">INDIRECT(AV$5&amp;$AR32+8)&amp;"-"&amp;2</f>
        <v>2368-2</v>
      </c>
      <c r="AW32" s="8" t="str" cm="1">
        <f t="array" aca="1" ref="AW32" ca="1">INDIRECT(AW$5&amp;$AR32+8)&amp;"-"&amp;1</f>
        <v>2367-1</v>
      </c>
      <c r="AX32" s="9" t="str" cm="1">
        <f t="array" aca="1" ref="AX32" ca="1">INDIRECT(AX$5&amp;$AR32+8)&amp;"-"&amp;2</f>
        <v>2367-2</v>
      </c>
      <c r="AY32" s="8" t="str" cm="1">
        <f t="array" aca="1" ref="AY32" ca="1">INDIRECT(AY$5&amp;$AR32+8)&amp;"-"&amp;1</f>
        <v>2366-1</v>
      </c>
      <c r="AZ32" s="9" t="str" cm="1">
        <f t="array" aca="1" ref="AZ32" ca="1">INDIRECT(AZ$5&amp;$AR32+8)&amp;"-"&amp;2</f>
        <v>2366-2</v>
      </c>
      <c r="BA32" s="8" t="str" cm="1">
        <f t="array" aca="1" ref="BA32" ca="1">INDIRECT(BA$5&amp;$AR32+8)&amp;"-"&amp;1</f>
        <v>2365-1</v>
      </c>
      <c r="BB32" s="9" t="str" cm="1">
        <f t="array" aca="1" ref="BB32" ca="1">INDIRECT(BB$5&amp;$AR32+8)&amp;"-"&amp;2</f>
        <v>2365-2</v>
      </c>
      <c r="BC32" s="8" t="str" cm="1">
        <f t="array" aca="1" ref="BC32" ca="1">INDIRECT(BC$5&amp;$AR32+8)&amp;"-"&amp;1</f>
        <v>2364-1</v>
      </c>
      <c r="BD32" s="9" t="str" cm="1">
        <f t="array" aca="1" ref="BD32" ca="1">INDIRECT(BD$5&amp;$AR32+8)&amp;"-"&amp;2</f>
        <v>2364-2</v>
      </c>
      <c r="BE32" s="8" t="str" cm="1">
        <f t="array" aca="1" ref="BE32" ca="1">INDIRECT(BE$5&amp;$AR32+8)&amp;"-"&amp;1</f>
        <v>2363-1</v>
      </c>
      <c r="BF32" s="9" t="str" cm="1">
        <f t="array" aca="1" ref="BF32" ca="1">INDIRECT(BF$5&amp;$AR32+8)&amp;"-"&amp;2</f>
        <v>2363-2</v>
      </c>
      <c r="BG32" s="8" t="str" cm="1">
        <f t="array" aca="1" ref="BG32" ca="1">INDIRECT(BG$5&amp;$AR32+8)&amp;"-"&amp;1</f>
        <v>2362-1</v>
      </c>
      <c r="BH32" s="9" t="str" cm="1">
        <f t="array" aca="1" ref="BH32" ca="1">INDIRECT(BH$5&amp;$AR32+8)&amp;"-"&amp;2</f>
        <v>2362-2</v>
      </c>
      <c r="BI32" s="8" t="str" cm="1">
        <f t="array" aca="1" ref="BI32" ca="1">INDIRECT(BI$5&amp;$AR32+8)&amp;"-"&amp;1</f>
        <v>2361-1</v>
      </c>
      <c r="BJ32" s="9" t="str" cm="1">
        <f t="array" aca="1" ref="BJ32" ca="1">INDIRECT(BJ$5&amp;$AR32+8)&amp;"-"&amp;2</f>
        <v>2361-2</v>
      </c>
      <c r="BK32" s="8" t="str" cm="1">
        <f t="array" aca="1" ref="BK32" ca="1">INDIRECT(BK$5&amp;$AR32+8)&amp;"-"&amp;1</f>
        <v>2360-1</v>
      </c>
      <c r="BL32" s="9" t="str" cm="1">
        <f t="array" aca="1" ref="BL32" ca="1">INDIRECT(BL$5&amp;$AR32+8)&amp;"-"&amp;2</f>
        <v>2360-2</v>
      </c>
      <c r="BM32" s="8" t="str" cm="1">
        <f t="array" aca="1" ref="BM32" ca="1">INDIRECT(BM$5&amp;$AR32+8)&amp;"-"&amp;1</f>
        <v>2359-1</v>
      </c>
      <c r="BN32" s="9" t="str" cm="1">
        <f t="array" aca="1" ref="BN32" ca="1">INDIRECT(BN$5&amp;$AR32+8)&amp;"-"&amp;2</f>
        <v>2359-2</v>
      </c>
      <c r="BO32" s="8" t="str" cm="1">
        <f t="array" aca="1" ref="BO32" ca="1">INDIRECT(BO$5&amp;$AR32+8)&amp;"-"&amp;1</f>
        <v>2358-1</v>
      </c>
      <c r="BP32" s="9" t="str" cm="1">
        <f t="array" aca="1" ref="BP32" ca="1">INDIRECT(BP$5&amp;$AR32+8)&amp;"-"&amp;2</f>
        <v>2358-2</v>
      </c>
      <c r="BQ32" s="8" t="str" cm="1">
        <f t="array" aca="1" ref="BQ32" ca="1">INDIRECT(BQ$5&amp;$AR32+8)&amp;"-"&amp;1</f>
        <v>2357-1</v>
      </c>
      <c r="BR32" s="9" t="str" cm="1">
        <f t="array" aca="1" ref="BR32" ca="1">INDIRECT(BR$5&amp;$AR32+8)&amp;"-"&amp;2</f>
        <v>2357-2</v>
      </c>
      <c r="BS32" s="8" t="str" cm="1">
        <f t="array" aca="1" ref="BS32" ca="1">INDIRECT(BS$5&amp;$AR32+8)&amp;"-"&amp;1</f>
        <v>2356-1</v>
      </c>
      <c r="BT32" s="9" t="str" cm="1">
        <f t="array" aca="1" ref="BT32" ca="1">INDIRECT(BT$5&amp;$AR32+8)&amp;"-"&amp;2</f>
        <v>2356-2</v>
      </c>
      <c r="BU32" s="8" t="str" cm="1">
        <f t="array" aca="1" ref="BU32" ca="1">INDIRECT(BU$5&amp;$AR32+8)&amp;"-"&amp;1</f>
        <v>2355-1</v>
      </c>
      <c r="BV32" s="9" t="str" cm="1">
        <f t="array" aca="1" ref="BV32" ca="1">INDIRECT(BV$5&amp;$AR32+8)&amp;"-"&amp;2</f>
        <v>2355-2</v>
      </c>
      <c r="BW32" s="8" t="str" cm="1">
        <f t="array" aca="1" ref="BW32" ca="1">INDIRECT(BW$5&amp;$AR32+8)&amp;"-"&amp;1</f>
        <v>2354-1</v>
      </c>
      <c r="BX32" s="9" t="str" cm="1">
        <f t="array" aca="1" ref="BX32" ca="1">INDIRECT(BX$5&amp;$AR32+8)&amp;"-"&amp;2</f>
        <v>2354-2</v>
      </c>
      <c r="BY32" s="8" t="str" cm="1">
        <f t="array" aca="1" ref="BY32" ca="1">INDIRECT(BY$5&amp;$AR32+8)&amp;"-"&amp;1</f>
        <v>2353-1</v>
      </c>
      <c r="BZ32" s="9" t="str" cm="1">
        <f t="array" aca="1" ref="BZ32" ca="1">INDIRECT(BZ$5&amp;$AR32+8)&amp;"-"&amp;2</f>
        <v>2353-2</v>
      </c>
      <c r="CA32" s="6" t="str" cm="1">
        <f t="array" aca="1" ref="CA32" ca="1">INDIRECT(CA$5&amp;$AR32+8)&amp;"-"&amp;1</f>
        <v>1368-1</v>
      </c>
      <c r="CB32" s="7" t="str" cm="1">
        <f t="array" aca="1" ref="CB32" ca="1">INDIRECT(CB$5&amp;$AR32+8)&amp;"-"&amp;2</f>
        <v>1368-2</v>
      </c>
      <c r="CC32" s="6" t="str" cm="1">
        <f t="array" aca="1" ref="CC32" ca="1">INDIRECT(CC$5&amp;$AR32+8)&amp;"-"&amp;1</f>
        <v>1367-1</v>
      </c>
      <c r="CD32" s="7" t="str" cm="1">
        <f t="array" aca="1" ref="CD32" ca="1">INDIRECT(CD$5&amp;$AR32+8)&amp;"-"&amp;2</f>
        <v>1367-2</v>
      </c>
      <c r="CE32" s="6" t="str" cm="1">
        <f t="array" aca="1" ref="CE32" ca="1">INDIRECT(CE$5&amp;$AR32+8)&amp;"-"&amp;1</f>
        <v>1366-1</v>
      </c>
      <c r="CF32" s="7" t="str" cm="1">
        <f t="array" aca="1" ref="CF32" ca="1">INDIRECT(CF$5&amp;$AR32+8)&amp;"-"&amp;2</f>
        <v>1366-2</v>
      </c>
      <c r="CG32" s="6" t="str" cm="1">
        <f t="array" aca="1" ref="CG32" ca="1">INDIRECT(CG$5&amp;$AR32+8)&amp;"-"&amp;1</f>
        <v>1365-1</v>
      </c>
      <c r="CH32" s="7" t="str" cm="1">
        <f t="array" aca="1" ref="CH32" ca="1">INDIRECT(CH$5&amp;$AR32+8)&amp;"-"&amp;2</f>
        <v>1365-2</v>
      </c>
      <c r="CI32" s="6" t="str" cm="1">
        <f t="array" aca="1" ref="CI32" ca="1">INDIRECT(CI$5&amp;$AR32+8)&amp;"-"&amp;1</f>
        <v>1364-1</v>
      </c>
      <c r="CJ32" s="7" t="str" cm="1">
        <f t="array" aca="1" ref="CJ32" ca="1">INDIRECT(CJ$5&amp;$AR32+8)&amp;"-"&amp;2</f>
        <v>1364-2</v>
      </c>
      <c r="CK32" s="6" t="str" cm="1">
        <f t="array" aca="1" ref="CK32" ca="1">INDIRECT(CK$5&amp;$AR32+8)&amp;"-"&amp;1</f>
        <v>1363-1</v>
      </c>
      <c r="CL32" s="7" t="str" cm="1">
        <f t="array" aca="1" ref="CL32" ca="1">INDIRECT(CL$5&amp;$AR32+8)&amp;"-"&amp;2</f>
        <v>1363-2</v>
      </c>
      <c r="CM32" s="6" t="str" cm="1">
        <f t="array" aca="1" ref="CM32" ca="1">INDIRECT(CM$5&amp;$AR32+8)&amp;"-"&amp;1</f>
        <v>1362-1</v>
      </c>
      <c r="CN32" s="7" t="str" cm="1">
        <f t="array" aca="1" ref="CN32" ca="1">INDIRECT(CN$5&amp;$AR32+8)&amp;"-"&amp;2</f>
        <v>1362-2</v>
      </c>
      <c r="CO32" s="6" t="str" cm="1">
        <f t="array" aca="1" ref="CO32" ca="1">INDIRECT(CO$5&amp;$AR32+8)&amp;"-"&amp;1</f>
        <v>1361-1</v>
      </c>
      <c r="CP32" s="7" t="str" cm="1">
        <f t="array" aca="1" ref="CP32" ca="1">INDIRECT(CP$5&amp;$AR32+8)&amp;"-"&amp;2</f>
        <v>1361-2</v>
      </c>
      <c r="CQ32" s="6" t="str" cm="1">
        <f t="array" aca="1" ref="CQ32" ca="1">INDIRECT(CQ$5&amp;$AR32+8)&amp;"-"&amp;1</f>
        <v>1360-1</v>
      </c>
      <c r="CR32" s="7" t="str" cm="1">
        <f t="array" aca="1" ref="CR32" ca="1">INDIRECT(CR$5&amp;$AR32+8)&amp;"-"&amp;2</f>
        <v>1360-2</v>
      </c>
      <c r="CS32" s="6" t="str" cm="1">
        <f t="array" aca="1" ref="CS32" ca="1">INDIRECT(CS$5&amp;$AR32+8)&amp;"-"&amp;1</f>
        <v>1359-1</v>
      </c>
      <c r="CT32" s="7" t="str" cm="1">
        <f t="array" aca="1" ref="CT32" ca="1">INDIRECT(CT$5&amp;$AR32+8)&amp;"-"&amp;2</f>
        <v>1359-2</v>
      </c>
      <c r="CU32" s="6" t="str" cm="1">
        <f t="array" aca="1" ref="CU32" ca="1">INDIRECT(CU$5&amp;$AR32+8)&amp;"-"&amp;1</f>
        <v>1358-1</v>
      </c>
      <c r="CV32" s="7" t="str" cm="1">
        <f t="array" aca="1" ref="CV32" ca="1">INDIRECT(CV$5&amp;$AR32+8)&amp;"-"&amp;2</f>
        <v>1358-2</v>
      </c>
      <c r="CW32" s="6" t="str" cm="1">
        <f t="array" aca="1" ref="CW32" ca="1">INDIRECT(CW$5&amp;$AR32+8)&amp;"-"&amp;1</f>
        <v>1357-1</v>
      </c>
      <c r="CX32" s="7" t="str" cm="1">
        <f t="array" aca="1" ref="CX32" ca="1">INDIRECT(CX$5&amp;$AR32+8)&amp;"-"&amp;2</f>
        <v>1357-2</v>
      </c>
      <c r="CY32" s="6" t="str" cm="1">
        <f t="array" aca="1" ref="CY32" ca="1">INDIRECT(CY$5&amp;$AR32+8)&amp;"-"&amp;1</f>
        <v>1356-1</v>
      </c>
      <c r="CZ32" s="7" t="str" cm="1">
        <f t="array" aca="1" ref="CZ32" ca="1">INDIRECT(CZ$5&amp;$AR32+8)&amp;"-"&amp;2</f>
        <v>1356-2</v>
      </c>
      <c r="DA32" s="6" t="str" cm="1">
        <f t="array" aca="1" ref="DA32" ca="1">INDIRECT(DA$5&amp;$AR32+8)&amp;"-"&amp;1</f>
        <v>1355-1</v>
      </c>
      <c r="DB32" s="7" t="str" cm="1">
        <f t="array" aca="1" ref="DB32" ca="1">INDIRECT(DB$5&amp;$AR32+8)&amp;"-"&amp;2</f>
        <v>1355-2</v>
      </c>
      <c r="DC32" s="6" t="str" cm="1">
        <f t="array" aca="1" ref="DC32" ca="1">INDIRECT(DC$5&amp;$AR32+8)&amp;"-"&amp;1</f>
        <v>1354-1</v>
      </c>
      <c r="DD32" s="7" t="str" cm="1">
        <f t="array" aca="1" ref="DD32" ca="1">INDIRECT(DD$5&amp;$AR32+8)&amp;"-"&amp;2</f>
        <v>1354-2</v>
      </c>
      <c r="DE32" s="6" t="str" cm="1">
        <f t="array" aca="1" ref="DE32" ca="1">INDIRECT(DE$5&amp;$AR32+8)&amp;"-"&amp;1</f>
        <v>1353-1</v>
      </c>
      <c r="DF32" s="7" t="str" cm="1">
        <f t="array" aca="1" ref="DF32" ca="1">INDIRECT(DF$5&amp;$AR32+8)&amp;"-"&amp;2</f>
        <v>1353-2</v>
      </c>
      <c r="DG32" s="25" t="str" cm="1">
        <f t="array" aca="1" ref="DG32" ca="1">INDIRECT(DG$5&amp;$AR32+8)</f>
        <v>Border</v>
      </c>
      <c r="DH32" s="25" t="str" cm="1">
        <f t="array" aca="1" ref="DH32" ca="1">INDIRECT(DH$5&amp;$AR32+8)</f>
        <v>Border</v>
      </c>
    </row>
    <row r="33" spans="1:112" ht="40.049999999999997" customHeight="1" x14ac:dyDescent="0.45">
      <c r="A33" s="2"/>
      <c r="B33" s="3">
        <v>25</v>
      </c>
      <c r="C33" s="11" t="s">
        <v>9</v>
      </c>
      <c r="D33" s="5">
        <f t="shared" ref="D33:R33" si="26">E33+1</f>
        <v>2384</v>
      </c>
      <c r="E33" s="5">
        <f t="shared" si="26"/>
        <v>2383</v>
      </c>
      <c r="F33" s="5">
        <f t="shared" si="26"/>
        <v>2382</v>
      </c>
      <c r="G33" s="5">
        <f t="shared" si="26"/>
        <v>2381</v>
      </c>
      <c r="H33" s="5">
        <f t="shared" si="26"/>
        <v>2380</v>
      </c>
      <c r="I33" s="5">
        <f t="shared" si="26"/>
        <v>2379</v>
      </c>
      <c r="J33" s="5">
        <f t="shared" si="26"/>
        <v>2378</v>
      </c>
      <c r="K33" s="5">
        <f t="shared" si="26"/>
        <v>2377</v>
      </c>
      <c r="L33" s="5">
        <f t="shared" si="26"/>
        <v>2376</v>
      </c>
      <c r="M33" s="5">
        <f t="shared" si="26"/>
        <v>2375</v>
      </c>
      <c r="N33" s="5">
        <f t="shared" si="26"/>
        <v>2374</v>
      </c>
      <c r="O33" s="5">
        <f t="shared" si="26"/>
        <v>2373</v>
      </c>
      <c r="P33" s="5">
        <f t="shared" si="26"/>
        <v>2372</v>
      </c>
      <c r="Q33" s="5">
        <f t="shared" si="26"/>
        <v>2371</v>
      </c>
      <c r="R33" s="5">
        <f t="shared" si="26"/>
        <v>2370</v>
      </c>
      <c r="S33" s="5">
        <f t="array" ref="S33">D32+1</f>
        <v>2369</v>
      </c>
      <c r="T33" s="4">
        <f t="shared" si="23"/>
        <v>1384</v>
      </c>
      <c r="U33" s="4">
        <f t="shared" si="23"/>
        <v>1383</v>
      </c>
      <c r="V33" s="4">
        <f t="shared" si="23"/>
        <v>1382</v>
      </c>
      <c r="W33" s="4">
        <f t="shared" si="23"/>
        <v>1381</v>
      </c>
      <c r="X33" s="4">
        <f t="shared" si="23"/>
        <v>1380</v>
      </c>
      <c r="Y33" s="4">
        <f t="shared" si="23"/>
        <v>1379</v>
      </c>
      <c r="Z33" s="4">
        <f t="shared" si="23"/>
        <v>1378</v>
      </c>
      <c r="AA33" s="4">
        <f t="shared" si="23"/>
        <v>1377</v>
      </c>
      <c r="AB33" s="4">
        <f t="shared" si="23"/>
        <v>1376</v>
      </c>
      <c r="AC33" s="4">
        <f t="shared" si="23"/>
        <v>1375</v>
      </c>
      <c r="AD33" s="4">
        <f t="shared" si="23"/>
        <v>1374</v>
      </c>
      <c r="AE33" s="4">
        <f t="shared" si="23"/>
        <v>1373</v>
      </c>
      <c r="AF33" s="4">
        <f t="shared" si="23"/>
        <v>1372</v>
      </c>
      <c r="AG33" s="4">
        <f t="shared" si="23"/>
        <v>1371</v>
      </c>
      <c r="AH33" s="4">
        <f t="shared" si="23"/>
        <v>1370</v>
      </c>
      <c r="AI33" s="4">
        <f t="shared" si="3"/>
        <v>1369</v>
      </c>
      <c r="AJ33" s="11" t="s">
        <v>9</v>
      </c>
      <c r="AQ33" s="2"/>
      <c r="AR33" s="3">
        <v>25</v>
      </c>
      <c r="AS33" s="22" t="str" cm="1">
        <f t="array" aca="1" ref="AS33" ca="1">INDIRECT(AS$5&amp;$AR33+8)</f>
        <v>Border</v>
      </c>
      <c r="AT33" s="23" t="str" cm="1">
        <f t="array" aca="1" ref="AT33" ca="1">INDIRECT(AT$5&amp;$AR33+8)</f>
        <v>Border</v>
      </c>
      <c r="AU33" s="8" t="str" cm="1">
        <f t="array" aca="1" ref="AU33" ca="1">INDIRECT(AU$5&amp;$AR33+8)&amp;"-"&amp;1</f>
        <v>2384-1</v>
      </c>
      <c r="AV33" s="9" t="str" cm="1">
        <f t="array" aca="1" ref="AV33" ca="1">INDIRECT(AV$5&amp;$AR33+8)&amp;"-"&amp;2</f>
        <v>2384-2</v>
      </c>
      <c r="AW33" s="8" t="str" cm="1">
        <f t="array" aca="1" ref="AW33" ca="1">INDIRECT(AW$5&amp;$AR33+8)&amp;"-"&amp;1</f>
        <v>2383-1</v>
      </c>
      <c r="AX33" s="9" t="str" cm="1">
        <f t="array" aca="1" ref="AX33" ca="1">INDIRECT(AX$5&amp;$AR33+8)&amp;"-"&amp;2</f>
        <v>2383-2</v>
      </c>
      <c r="AY33" s="8" t="str" cm="1">
        <f t="array" aca="1" ref="AY33" ca="1">INDIRECT(AY$5&amp;$AR33+8)&amp;"-"&amp;1</f>
        <v>2382-1</v>
      </c>
      <c r="AZ33" s="9" t="str" cm="1">
        <f t="array" aca="1" ref="AZ33" ca="1">INDIRECT(AZ$5&amp;$AR33+8)&amp;"-"&amp;2</f>
        <v>2382-2</v>
      </c>
      <c r="BA33" s="8" t="str" cm="1">
        <f t="array" aca="1" ref="BA33" ca="1">INDIRECT(BA$5&amp;$AR33+8)&amp;"-"&amp;1</f>
        <v>2381-1</v>
      </c>
      <c r="BB33" s="9" t="str" cm="1">
        <f t="array" aca="1" ref="BB33" ca="1">INDIRECT(BB$5&amp;$AR33+8)&amp;"-"&amp;2</f>
        <v>2381-2</v>
      </c>
      <c r="BC33" s="8" t="str" cm="1">
        <f t="array" aca="1" ref="BC33" ca="1">INDIRECT(BC$5&amp;$AR33+8)&amp;"-"&amp;1</f>
        <v>2380-1</v>
      </c>
      <c r="BD33" s="9" t="str" cm="1">
        <f t="array" aca="1" ref="BD33" ca="1">INDIRECT(BD$5&amp;$AR33+8)&amp;"-"&amp;2</f>
        <v>2380-2</v>
      </c>
      <c r="BE33" s="8" t="str" cm="1">
        <f t="array" aca="1" ref="BE33" ca="1">INDIRECT(BE$5&amp;$AR33+8)&amp;"-"&amp;1</f>
        <v>2379-1</v>
      </c>
      <c r="BF33" s="9" t="str" cm="1">
        <f t="array" aca="1" ref="BF33" ca="1">INDIRECT(BF$5&amp;$AR33+8)&amp;"-"&amp;2</f>
        <v>2379-2</v>
      </c>
      <c r="BG33" s="8" t="str" cm="1">
        <f t="array" aca="1" ref="BG33" ca="1">INDIRECT(BG$5&amp;$AR33+8)&amp;"-"&amp;1</f>
        <v>2378-1</v>
      </c>
      <c r="BH33" s="9" t="str" cm="1">
        <f t="array" aca="1" ref="BH33" ca="1">INDIRECT(BH$5&amp;$AR33+8)&amp;"-"&amp;2</f>
        <v>2378-2</v>
      </c>
      <c r="BI33" s="8" t="str" cm="1">
        <f t="array" aca="1" ref="BI33" ca="1">INDIRECT(BI$5&amp;$AR33+8)&amp;"-"&amp;1</f>
        <v>2377-1</v>
      </c>
      <c r="BJ33" s="9" t="str" cm="1">
        <f t="array" aca="1" ref="BJ33" ca="1">INDIRECT(BJ$5&amp;$AR33+8)&amp;"-"&amp;2</f>
        <v>2377-2</v>
      </c>
      <c r="BK33" s="8" t="str" cm="1">
        <f t="array" aca="1" ref="BK33" ca="1">INDIRECT(BK$5&amp;$AR33+8)&amp;"-"&amp;1</f>
        <v>2376-1</v>
      </c>
      <c r="BL33" s="9" t="str" cm="1">
        <f t="array" aca="1" ref="BL33" ca="1">INDIRECT(BL$5&amp;$AR33+8)&amp;"-"&amp;2</f>
        <v>2376-2</v>
      </c>
      <c r="BM33" s="8" t="str" cm="1">
        <f t="array" aca="1" ref="BM33" ca="1">INDIRECT(BM$5&amp;$AR33+8)&amp;"-"&amp;1</f>
        <v>2375-1</v>
      </c>
      <c r="BN33" s="9" t="str" cm="1">
        <f t="array" aca="1" ref="BN33" ca="1">INDIRECT(BN$5&amp;$AR33+8)&amp;"-"&amp;2</f>
        <v>2375-2</v>
      </c>
      <c r="BO33" s="8" t="str" cm="1">
        <f t="array" aca="1" ref="BO33" ca="1">INDIRECT(BO$5&amp;$AR33+8)&amp;"-"&amp;1</f>
        <v>2374-1</v>
      </c>
      <c r="BP33" s="9" t="str" cm="1">
        <f t="array" aca="1" ref="BP33" ca="1">INDIRECT(BP$5&amp;$AR33+8)&amp;"-"&amp;2</f>
        <v>2374-2</v>
      </c>
      <c r="BQ33" s="8" t="str" cm="1">
        <f t="array" aca="1" ref="BQ33" ca="1">INDIRECT(BQ$5&amp;$AR33+8)&amp;"-"&amp;1</f>
        <v>2373-1</v>
      </c>
      <c r="BR33" s="9" t="str" cm="1">
        <f t="array" aca="1" ref="BR33" ca="1">INDIRECT(BR$5&amp;$AR33+8)&amp;"-"&amp;2</f>
        <v>2373-2</v>
      </c>
      <c r="BS33" s="8" t="str" cm="1">
        <f t="array" aca="1" ref="BS33" ca="1">INDIRECT(BS$5&amp;$AR33+8)&amp;"-"&amp;1</f>
        <v>2372-1</v>
      </c>
      <c r="BT33" s="9" t="str" cm="1">
        <f t="array" aca="1" ref="BT33" ca="1">INDIRECT(BT$5&amp;$AR33+8)&amp;"-"&amp;2</f>
        <v>2372-2</v>
      </c>
      <c r="BU33" s="8" t="str" cm="1">
        <f t="array" aca="1" ref="BU33" ca="1">INDIRECT(BU$5&amp;$AR33+8)&amp;"-"&amp;1</f>
        <v>2371-1</v>
      </c>
      <c r="BV33" s="9" t="str" cm="1">
        <f t="array" aca="1" ref="BV33" ca="1">INDIRECT(BV$5&amp;$AR33+8)&amp;"-"&amp;2</f>
        <v>2371-2</v>
      </c>
      <c r="BW33" s="8" t="str" cm="1">
        <f t="array" aca="1" ref="BW33" ca="1">INDIRECT(BW$5&amp;$AR33+8)&amp;"-"&amp;1</f>
        <v>2370-1</v>
      </c>
      <c r="BX33" s="9" t="str" cm="1">
        <f t="array" aca="1" ref="BX33" ca="1">INDIRECT(BX$5&amp;$AR33+8)&amp;"-"&amp;2</f>
        <v>2370-2</v>
      </c>
      <c r="BY33" s="8" t="str" cm="1">
        <f t="array" aca="1" ref="BY33" ca="1">INDIRECT(BY$5&amp;$AR33+8)&amp;"-"&amp;1</f>
        <v>2369-1</v>
      </c>
      <c r="BZ33" s="9" t="str" cm="1">
        <f t="array" aca="1" ref="BZ33" ca="1">INDIRECT(BZ$5&amp;$AR33+8)&amp;"-"&amp;2</f>
        <v>2369-2</v>
      </c>
      <c r="CA33" s="6" t="str" cm="1">
        <f t="array" aca="1" ref="CA33" ca="1">INDIRECT(CA$5&amp;$AR33+8)&amp;"-"&amp;1</f>
        <v>1384-1</v>
      </c>
      <c r="CB33" s="7" t="str" cm="1">
        <f t="array" aca="1" ref="CB33" ca="1">INDIRECT(CB$5&amp;$AR33+8)&amp;"-"&amp;2</f>
        <v>1384-2</v>
      </c>
      <c r="CC33" s="6" t="str" cm="1">
        <f t="array" aca="1" ref="CC33" ca="1">INDIRECT(CC$5&amp;$AR33+8)&amp;"-"&amp;1</f>
        <v>1383-1</v>
      </c>
      <c r="CD33" s="7" t="str" cm="1">
        <f t="array" aca="1" ref="CD33" ca="1">INDIRECT(CD$5&amp;$AR33+8)&amp;"-"&amp;2</f>
        <v>1383-2</v>
      </c>
      <c r="CE33" s="6" t="str" cm="1">
        <f t="array" aca="1" ref="CE33" ca="1">INDIRECT(CE$5&amp;$AR33+8)&amp;"-"&amp;1</f>
        <v>1382-1</v>
      </c>
      <c r="CF33" s="7" t="str" cm="1">
        <f t="array" aca="1" ref="CF33" ca="1">INDIRECT(CF$5&amp;$AR33+8)&amp;"-"&amp;2</f>
        <v>1382-2</v>
      </c>
      <c r="CG33" s="6" t="str" cm="1">
        <f t="array" aca="1" ref="CG33" ca="1">INDIRECT(CG$5&amp;$AR33+8)&amp;"-"&amp;1</f>
        <v>1381-1</v>
      </c>
      <c r="CH33" s="7" t="str" cm="1">
        <f t="array" aca="1" ref="CH33" ca="1">INDIRECT(CH$5&amp;$AR33+8)&amp;"-"&amp;2</f>
        <v>1381-2</v>
      </c>
      <c r="CI33" s="6" t="str" cm="1">
        <f t="array" aca="1" ref="CI33" ca="1">INDIRECT(CI$5&amp;$AR33+8)&amp;"-"&amp;1</f>
        <v>1380-1</v>
      </c>
      <c r="CJ33" s="7" t="str" cm="1">
        <f t="array" aca="1" ref="CJ33" ca="1">INDIRECT(CJ$5&amp;$AR33+8)&amp;"-"&amp;2</f>
        <v>1380-2</v>
      </c>
      <c r="CK33" s="6" t="str" cm="1">
        <f t="array" aca="1" ref="CK33" ca="1">INDIRECT(CK$5&amp;$AR33+8)&amp;"-"&amp;1</f>
        <v>1379-1</v>
      </c>
      <c r="CL33" s="7" t="str" cm="1">
        <f t="array" aca="1" ref="CL33" ca="1">INDIRECT(CL$5&amp;$AR33+8)&amp;"-"&amp;2</f>
        <v>1379-2</v>
      </c>
      <c r="CM33" s="6" t="str" cm="1">
        <f t="array" aca="1" ref="CM33" ca="1">INDIRECT(CM$5&amp;$AR33+8)&amp;"-"&amp;1</f>
        <v>1378-1</v>
      </c>
      <c r="CN33" s="7" t="str" cm="1">
        <f t="array" aca="1" ref="CN33" ca="1">INDIRECT(CN$5&amp;$AR33+8)&amp;"-"&amp;2</f>
        <v>1378-2</v>
      </c>
      <c r="CO33" s="6" t="str" cm="1">
        <f t="array" aca="1" ref="CO33" ca="1">INDIRECT(CO$5&amp;$AR33+8)&amp;"-"&amp;1</f>
        <v>1377-1</v>
      </c>
      <c r="CP33" s="7" t="str" cm="1">
        <f t="array" aca="1" ref="CP33" ca="1">INDIRECT(CP$5&amp;$AR33+8)&amp;"-"&amp;2</f>
        <v>1377-2</v>
      </c>
      <c r="CQ33" s="6" t="str" cm="1">
        <f t="array" aca="1" ref="CQ33" ca="1">INDIRECT(CQ$5&amp;$AR33+8)&amp;"-"&amp;1</f>
        <v>1376-1</v>
      </c>
      <c r="CR33" s="7" t="str" cm="1">
        <f t="array" aca="1" ref="CR33" ca="1">INDIRECT(CR$5&amp;$AR33+8)&amp;"-"&amp;2</f>
        <v>1376-2</v>
      </c>
      <c r="CS33" s="6" t="str" cm="1">
        <f t="array" aca="1" ref="CS33" ca="1">INDIRECT(CS$5&amp;$AR33+8)&amp;"-"&amp;1</f>
        <v>1375-1</v>
      </c>
      <c r="CT33" s="7" t="str" cm="1">
        <f t="array" aca="1" ref="CT33" ca="1">INDIRECT(CT$5&amp;$AR33+8)&amp;"-"&amp;2</f>
        <v>1375-2</v>
      </c>
      <c r="CU33" s="6" t="str" cm="1">
        <f t="array" aca="1" ref="CU33" ca="1">INDIRECT(CU$5&amp;$AR33+8)&amp;"-"&amp;1</f>
        <v>1374-1</v>
      </c>
      <c r="CV33" s="7" t="str" cm="1">
        <f t="array" aca="1" ref="CV33" ca="1">INDIRECT(CV$5&amp;$AR33+8)&amp;"-"&amp;2</f>
        <v>1374-2</v>
      </c>
      <c r="CW33" s="6" t="str" cm="1">
        <f t="array" aca="1" ref="CW33" ca="1">INDIRECT(CW$5&amp;$AR33+8)&amp;"-"&amp;1</f>
        <v>1373-1</v>
      </c>
      <c r="CX33" s="7" t="str" cm="1">
        <f t="array" aca="1" ref="CX33" ca="1">INDIRECT(CX$5&amp;$AR33+8)&amp;"-"&amp;2</f>
        <v>1373-2</v>
      </c>
      <c r="CY33" s="6" t="str" cm="1">
        <f t="array" aca="1" ref="CY33" ca="1">INDIRECT(CY$5&amp;$AR33+8)&amp;"-"&amp;1</f>
        <v>1372-1</v>
      </c>
      <c r="CZ33" s="7" t="str" cm="1">
        <f t="array" aca="1" ref="CZ33" ca="1">INDIRECT(CZ$5&amp;$AR33+8)&amp;"-"&amp;2</f>
        <v>1372-2</v>
      </c>
      <c r="DA33" s="6" t="str" cm="1">
        <f t="array" aca="1" ref="DA33" ca="1">INDIRECT(DA$5&amp;$AR33+8)&amp;"-"&amp;1</f>
        <v>1371-1</v>
      </c>
      <c r="DB33" s="7" t="str" cm="1">
        <f t="array" aca="1" ref="DB33" ca="1">INDIRECT(DB$5&amp;$AR33+8)&amp;"-"&amp;2</f>
        <v>1371-2</v>
      </c>
      <c r="DC33" s="6" t="str" cm="1">
        <f t="array" aca="1" ref="DC33" ca="1">INDIRECT(DC$5&amp;$AR33+8)&amp;"-"&amp;1</f>
        <v>1370-1</v>
      </c>
      <c r="DD33" s="7" t="str" cm="1">
        <f t="array" aca="1" ref="DD33" ca="1">INDIRECT(DD$5&amp;$AR33+8)&amp;"-"&amp;2</f>
        <v>1370-2</v>
      </c>
      <c r="DE33" s="6" t="str" cm="1">
        <f t="array" aca="1" ref="DE33" ca="1">INDIRECT(DE$5&amp;$AR33+8)&amp;"-"&amp;1</f>
        <v>1369-1</v>
      </c>
      <c r="DF33" s="7" t="str" cm="1">
        <f t="array" aca="1" ref="DF33" ca="1">INDIRECT(DF$5&amp;$AR33+8)&amp;"-"&amp;2</f>
        <v>1369-2</v>
      </c>
      <c r="DG33" s="25" t="str" cm="1">
        <f t="array" aca="1" ref="DG33" ca="1">INDIRECT(DG$5&amp;$AR33+8)</f>
        <v>Border</v>
      </c>
      <c r="DH33" s="25" t="str" cm="1">
        <f t="array" aca="1" ref="DH33" ca="1">INDIRECT(DH$5&amp;$AR33+8)</f>
        <v>Border</v>
      </c>
    </row>
    <row r="34" spans="1:112" ht="40.049999999999997" customHeight="1" x14ac:dyDescent="0.45">
      <c r="A34" s="2"/>
      <c r="B34" s="3">
        <v>26</v>
      </c>
      <c r="C34" s="11" t="s">
        <v>9</v>
      </c>
      <c r="D34" s="5">
        <f t="shared" ref="D34:R34" si="27">E34+1</f>
        <v>2400</v>
      </c>
      <c r="E34" s="5">
        <f t="shared" si="27"/>
        <v>2399</v>
      </c>
      <c r="F34" s="5">
        <f t="shared" si="27"/>
        <v>2398</v>
      </c>
      <c r="G34" s="5">
        <f t="shared" si="27"/>
        <v>2397</v>
      </c>
      <c r="H34" s="5">
        <f t="shared" si="27"/>
        <v>2396</v>
      </c>
      <c r="I34" s="5">
        <f t="shared" si="27"/>
        <v>2395</v>
      </c>
      <c r="J34" s="5">
        <f t="shared" si="27"/>
        <v>2394</v>
      </c>
      <c r="K34" s="5">
        <f t="shared" si="27"/>
        <v>2393</v>
      </c>
      <c r="L34" s="5">
        <f t="shared" si="27"/>
        <v>2392</v>
      </c>
      <c r="M34" s="5">
        <f t="shared" si="27"/>
        <v>2391</v>
      </c>
      <c r="N34" s="5">
        <f t="shared" si="27"/>
        <v>2390</v>
      </c>
      <c r="O34" s="5">
        <f t="shared" si="27"/>
        <v>2389</v>
      </c>
      <c r="P34" s="5">
        <f t="shared" si="27"/>
        <v>2388</v>
      </c>
      <c r="Q34" s="5">
        <f t="shared" si="27"/>
        <v>2387</v>
      </c>
      <c r="R34" s="5">
        <f t="shared" si="27"/>
        <v>2386</v>
      </c>
      <c r="S34" s="5">
        <f t="array" ref="S34">D33+1</f>
        <v>2385</v>
      </c>
      <c r="T34" s="4">
        <f t="shared" si="23"/>
        <v>1400</v>
      </c>
      <c r="U34" s="4">
        <f t="shared" si="23"/>
        <v>1399</v>
      </c>
      <c r="V34" s="4">
        <f t="shared" si="23"/>
        <v>1398</v>
      </c>
      <c r="W34" s="4">
        <f t="shared" si="23"/>
        <v>1397</v>
      </c>
      <c r="X34" s="4">
        <f t="shared" si="23"/>
        <v>1396</v>
      </c>
      <c r="Y34" s="4">
        <f t="shared" si="23"/>
        <v>1395</v>
      </c>
      <c r="Z34" s="4">
        <f t="shared" si="23"/>
        <v>1394</v>
      </c>
      <c r="AA34" s="4">
        <f t="shared" si="23"/>
        <v>1393</v>
      </c>
      <c r="AB34" s="4">
        <f t="shared" si="23"/>
        <v>1392</v>
      </c>
      <c r="AC34" s="4">
        <f t="shared" si="23"/>
        <v>1391</v>
      </c>
      <c r="AD34" s="4">
        <f t="shared" si="23"/>
        <v>1390</v>
      </c>
      <c r="AE34" s="4">
        <f t="shared" si="23"/>
        <v>1389</v>
      </c>
      <c r="AF34" s="4">
        <f t="shared" si="23"/>
        <v>1388</v>
      </c>
      <c r="AG34" s="4">
        <f t="shared" si="23"/>
        <v>1387</v>
      </c>
      <c r="AH34" s="4">
        <f t="shared" si="23"/>
        <v>1386</v>
      </c>
      <c r="AI34" s="4">
        <f t="shared" si="3"/>
        <v>1385</v>
      </c>
      <c r="AJ34" s="11" t="s">
        <v>9</v>
      </c>
      <c r="AQ34" s="2"/>
      <c r="AR34" s="3">
        <v>26</v>
      </c>
      <c r="AS34" s="22" t="str" cm="1">
        <f t="array" aca="1" ref="AS34" ca="1">INDIRECT(AS$5&amp;$AR34+8)</f>
        <v>Border</v>
      </c>
      <c r="AT34" s="23" t="str" cm="1">
        <f t="array" aca="1" ref="AT34" ca="1">INDIRECT(AT$5&amp;$AR34+8)</f>
        <v>Border</v>
      </c>
      <c r="AU34" s="8" t="str" cm="1">
        <f t="array" aca="1" ref="AU34" ca="1">INDIRECT(AU$5&amp;$AR34+8)&amp;"-"&amp;1</f>
        <v>2400-1</v>
      </c>
      <c r="AV34" s="9" t="str" cm="1">
        <f t="array" aca="1" ref="AV34" ca="1">INDIRECT(AV$5&amp;$AR34+8)&amp;"-"&amp;2</f>
        <v>2400-2</v>
      </c>
      <c r="AW34" s="8" t="str" cm="1">
        <f t="array" aca="1" ref="AW34" ca="1">INDIRECT(AW$5&amp;$AR34+8)&amp;"-"&amp;1</f>
        <v>2399-1</v>
      </c>
      <c r="AX34" s="9" t="str" cm="1">
        <f t="array" aca="1" ref="AX34" ca="1">INDIRECT(AX$5&amp;$AR34+8)&amp;"-"&amp;2</f>
        <v>2399-2</v>
      </c>
      <c r="AY34" s="8" t="str" cm="1">
        <f t="array" aca="1" ref="AY34" ca="1">INDIRECT(AY$5&amp;$AR34+8)&amp;"-"&amp;1</f>
        <v>2398-1</v>
      </c>
      <c r="AZ34" s="9" t="str" cm="1">
        <f t="array" aca="1" ref="AZ34" ca="1">INDIRECT(AZ$5&amp;$AR34+8)&amp;"-"&amp;2</f>
        <v>2398-2</v>
      </c>
      <c r="BA34" s="8" t="str" cm="1">
        <f t="array" aca="1" ref="BA34" ca="1">INDIRECT(BA$5&amp;$AR34+8)&amp;"-"&amp;1</f>
        <v>2397-1</v>
      </c>
      <c r="BB34" s="9" t="str" cm="1">
        <f t="array" aca="1" ref="BB34" ca="1">INDIRECT(BB$5&amp;$AR34+8)&amp;"-"&amp;2</f>
        <v>2397-2</v>
      </c>
      <c r="BC34" s="8" t="str" cm="1">
        <f t="array" aca="1" ref="BC34" ca="1">INDIRECT(BC$5&amp;$AR34+8)&amp;"-"&amp;1</f>
        <v>2396-1</v>
      </c>
      <c r="BD34" s="9" t="str" cm="1">
        <f t="array" aca="1" ref="BD34" ca="1">INDIRECT(BD$5&amp;$AR34+8)&amp;"-"&amp;2</f>
        <v>2396-2</v>
      </c>
      <c r="BE34" s="8" t="str" cm="1">
        <f t="array" aca="1" ref="BE34" ca="1">INDIRECT(BE$5&amp;$AR34+8)&amp;"-"&amp;1</f>
        <v>2395-1</v>
      </c>
      <c r="BF34" s="9" t="str" cm="1">
        <f t="array" aca="1" ref="BF34" ca="1">INDIRECT(BF$5&amp;$AR34+8)&amp;"-"&amp;2</f>
        <v>2395-2</v>
      </c>
      <c r="BG34" s="8" t="str" cm="1">
        <f t="array" aca="1" ref="BG34" ca="1">INDIRECT(BG$5&amp;$AR34+8)&amp;"-"&amp;1</f>
        <v>2394-1</v>
      </c>
      <c r="BH34" s="9" t="str" cm="1">
        <f t="array" aca="1" ref="BH34" ca="1">INDIRECT(BH$5&amp;$AR34+8)&amp;"-"&amp;2</f>
        <v>2394-2</v>
      </c>
      <c r="BI34" s="8" t="str" cm="1">
        <f t="array" aca="1" ref="BI34" ca="1">INDIRECT(BI$5&amp;$AR34+8)&amp;"-"&amp;1</f>
        <v>2393-1</v>
      </c>
      <c r="BJ34" s="9" t="str" cm="1">
        <f t="array" aca="1" ref="BJ34" ca="1">INDIRECT(BJ$5&amp;$AR34+8)&amp;"-"&amp;2</f>
        <v>2393-2</v>
      </c>
      <c r="BK34" s="8" t="str" cm="1">
        <f t="array" aca="1" ref="BK34" ca="1">INDIRECT(BK$5&amp;$AR34+8)&amp;"-"&amp;1</f>
        <v>2392-1</v>
      </c>
      <c r="BL34" s="9" t="str" cm="1">
        <f t="array" aca="1" ref="BL34" ca="1">INDIRECT(BL$5&amp;$AR34+8)&amp;"-"&amp;2</f>
        <v>2392-2</v>
      </c>
      <c r="BM34" s="8" t="str" cm="1">
        <f t="array" aca="1" ref="BM34" ca="1">INDIRECT(BM$5&amp;$AR34+8)&amp;"-"&amp;1</f>
        <v>2391-1</v>
      </c>
      <c r="BN34" s="9" t="str" cm="1">
        <f t="array" aca="1" ref="BN34" ca="1">INDIRECT(BN$5&amp;$AR34+8)&amp;"-"&amp;2</f>
        <v>2391-2</v>
      </c>
      <c r="BO34" s="8" t="str" cm="1">
        <f t="array" aca="1" ref="BO34" ca="1">INDIRECT(BO$5&amp;$AR34+8)&amp;"-"&amp;1</f>
        <v>2390-1</v>
      </c>
      <c r="BP34" s="9" t="str" cm="1">
        <f t="array" aca="1" ref="BP34" ca="1">INDIRECT(BP$5&amp;$AR34+8)&amp;"-"&amp;2</f>
        <v>2390-2</v>
      </c>
      <c r="BQ34" s="8" t="str" cm="1">
        <f t="array" aca="1" ref="BQ34" ca="1">INDIRECT(BQ$5&amp;$AR34+8)&amp;"-"&amp;1</f>
        <v>2389-1</v>
      </c>
      <c r="BR34" s="9" t="str" cm="1">
        <f t="array" aca="1" ref="BR34" ca="1">INDIRECT(BR$5&amp;$AR34+8)&amp;"-"&amp;2</f>
        <v>2389-2</v>
      </c>
      <c r="BS34" s="8" t="str" cm="1">
        <f t="array" aca="1" ref="BS34" ca="1">INDIRECT(BS$5&amp;$AR34+8)&amp;"-"&amp;1</f>
        <v>2388-1</v>
      </c>
      <c r="BT34" s="9" t="str" cm="1">
        <f t="array" aca="1" ref="BT34" ca="1">INDIRECT(BT$5&amp;$AR34+8)&amp;"-"&amp;2</f>
        <v>2388-2</v>
      </c>
      <c r="BU34" s="8" t="str" cm="1">
        <f t="array" aca="1" ref="BU34" ca="1">INDIRECT(BU$5&amp;$AR34+8)&amp;"-"&amp;1</f>
        <v>2387-1</v>
      </c>
      <c r="BV34" s="9" t="str" cm="1">
        <f t="array" aca="1" ref="BV34" ca="1">INDIRECT(BV$5&amp;$AR34+8)&amp;"-"&amp;2</f>
        <v>2387-2</v>
      </c>
      <c r="BW34" s="8" t="str" cm="1">
        <f t="array" aca="1" ref="BW34" ca="1">INDIRECT(BW$5&amp;$AR34+8)&amp;"-"&amp;1</f>
        <v>2386-1</v>
      </c>
      <c r="BX34" s="9" t="str" cm="1">
        <f t="array" aca="1" ref="BX34" ca="1">INDIRECT(BX$5&amp;$AR34+8)&amp;"-"&amp;2</f>
        <v>2386-2</v>
      </c>
      <c r="BY34" s="8" t="str" cm="1">
        <f t="array" aca="1" ref="BY34" ca="1">INDIRECT(BY$5&amp;$AR34+8)&amp;"-"&amp;1</f>
        <v>2385-1</v>
      </c>
      <c r="BZ34" s="9" t="str" cm="1">
        <f t="array" aca="1" ref="BZ34" ca="1">INDIRECT(BZ$5&amp;$AR34+8)&amp;"-"&amp;2</f>
        <v>2385-2</v>
      </c>
      <c r="CA34" s="6" t="str" cm="1">
        <f t="array" aca="1" ref="CA34" ca="1">INDIRECT(CA$5&amp;$AR34+8)&amp;"-"&amp;1</f>
        <v>1400-1</v>
      </c>
      <c r="CB34" s="7" t="str" cm="1">
        <f t="array" aca="1" ref="CB34" ca="1">INDIRECT(CB$5&amp;$AR34+8)&amp;"-"&amp;2</f>
        <v>1400-2</v>
      </c>
      <c r="CC34" s="6" t="str" cm="1">
        <f t="array" aca="1" ref="CC34" ca="1">INDIRECT(CC$5&amp;$AR34+8)&amp;"-"&amp;1</f>
        <v>1399-1</v>
      </c>
      <c r="CD34" s="7" t="str" cm="1">
        <f t="array" aca="1" ref="CD34" ca="1">INDIRECT(CD$5&amp;$AR34+8)&amp;"-"&amp;2</f>
        <v>1399-2</v>
      </c>
      <c r="CE34" s="6" t="str" cm="1">
        <f t="array" aca="1" ref="CE34" ca="1">INDIRECT(CE$5&amp;$AR34+8)&amp;"-"&amp;1</f>
        <v>1398-1</v>
      </c>
      <c r="CF34" s="7" t="str" cm="1">
        <f t="array" aca="1" ref="CF34" ca="1">INDIRECT(CF$5&amp;$AR34+8)&amp;"-"&amp;2</f>
        <v>1398-2</v>
      </c>
      <c r="CG34" s="6" t="str" cm="1">
        <f t="array" aca="1" ref="CG34" ca="1">INDIRECT(CG$5&amp;$AR34+8)&amp;"-"&amp;1</f>
        <v>1397-1</v>
      </c>
      <c r="CH34" s="7" t="str" cm="1">
        <f t="array" aca="1" ref="CH34" ca="1">INDIRECT(CH$5&amp;$AR34+8)&amp;"-"&amp;2</f>
        <v>1397-2</v>
      </c>
      <c r="CI34" s="6" t="str" cm="1">
        <f t="array" aca="1" ref="CI34" ca="1">INDIRECT(CI$5&amp;$AR34+8)&amp;"-"&amp;1</f>
        <v>1396-1</v>
      </c>
      <c r="CJ34" s="7" t="str" cm="1">
        <f t="array" aca="1" ref="CJ34" ca="1">INDIRECT(CJ$5&amp;$AR34+8)&amp;"-"&amp;2</f>
        <v>1396-2</v>
      </c>
      <c r="CK34" s="6" t="str" cm="1">
        <f t="array" aca="1" ref="CK34" ca="1">INDIRECT(CK$5&amp;$AR34+8)&amp;"-"&amp;1</f>
        <v>1395-1</v>
      </c>
      <c r="CL34" s="7" t="str" cm="1">
        <f t="array" aca="1" ref="CL34" ca="1">INDIRECT(CL$5&amp;$AR34+8)&amp;"-"&amp;2</f>
        <v>1395-2</v>
      </c>
      <c r="CM34" s="6" t="str" cm="1">
        <f t="array" aca="1" ref="CM34" ca="1">INDIRECT(CM$5&amp;$AR34+8)&amp;"-"&amp;1</f>
        <v>1394-1</v>
      </c>
      <c r="CN34" s="7" t="str" cm="1">
        <f t="array" aca="1" ref="CN34" ca="1">INDIRECT(CN$5&amp;$AR34+8)&amp;"-"&amp;2</f>
        <v>1394-2</v>
      </c>
      <c r="CO34" s="6" t="str" cm="1">
        <f t="array" aca="1" ref="CO34" ca="1">INDIRECT(CO$5&amp;$AR34+8)&amp;"-"&amp;1</f>
        <v>1393-1</v>
      </c>
      <c r="CP34" s="7" t="str" cm="1">
        <f t="array" aca="1" ref="CP34" ca="1">INDIRECT(CP$5&amp;$AR34+8)&amp;"-"&amp;2</f>
        <v>1393-2</v>
      </c>
      <c r="CQ34" s="6" t="str" cm="1">
        <f t="array" aca="1" ref="CQ34" ca="1">INDIRECT(CQ$5&amp;$AR34+8)&amp;"-"&amp;1</f>
        <v>1392-1</v>
      </c>
      <c r="CR34" s="7" t="str" cm="1">
        <f t="array" aca="1" ref="CR34" ca="1">INDIRECT(CR$5&amp;$AR34+8)&amp;"-"&amp;2</f>
        <v>1392-2</v>
      </c>
      <c r="CS34" s="6" t="str" cm="1">
        <f t="array" aca="1" ref="CS34" ca="1">INDIRECT(CS$5&amp;$AR34+8)&amp;"-"&amp;1</f>
        <v>1391-1</v>
      </c>
      <c r="CT34" s="7" t="str" cm="1">
        <f t="array" aca="1" ref="CT34" ca="1">INDIRECT(CT$5&amp;$AR34+8)&amp;"-"&amp;2</f>
        <v>1391-2</v>
      </c>
      <c r="CU34" s="6" t="str" cm="1">
        <f t="array" aca="1" ref="CU34" ca="1">INDIRECT(CU$5&amp;$AR34+8)&amp;"-"&amp;1</f>
        <v>1390-1</v>
      </c>
      <c r="CV34" s="7" t="str" cm="1">
        <f t="array" aca="1" ref="CV34" ca="1">INDIRECT(CV$5&amp;$AR34+8)&amp;"-"&amp;2</f>
        <v>1390-2</v>
      </c>
      <c r="CW34" s="6" t="str" cm="1">
        <f t="array" aca="1" ref="CW34" ca="1">INDIRECT(CW$5&amp;$AR34+8)&amp;"-"&amp;1</f>
        <v>1389-1</v>
      </c>
      <c r="CX34" s="7" t="str" cm="1">
        <f t="array" aca="1" ref="CX34" ca="1">INDIRECT(CX$5&amp;$AR34+8)&amp;"-"&amp;2</f>
        <v>1389-2</v>
      </c>
      <c r="CY34" s="6" t="str" cm="1">
        <f t="array" aca="1" ref="CY34" ca="1">INDIRECT(CY$5&amp;$AR34+8)&amp;"-"&amp;1</f>
        <v>1388-1</v>
      </c>
      <c r="CZ34" s="7" t="str" cm="1">
        <f t="array" aca="1" ref="CZ34" ca="1">INDIRECT(CZ$5&amp;$AR34+8)&amp;"-"&amp;2</f>
        <v>1388-2</v>
      </c>
      <c r="DA34" s="6" t="str" cm="1">
        <f t="array" aca="1" ref="DA34" ca="1">INDIRECT(DA$5&amp;$AR34+8)&amp;"-"&amp;1</f>
        <v>1387-1</v>
      </c>
      <c r="DB34" s="7" t="str" cm="1">
        <f t="array" aca="1" ref="DB34" ca="1">INDIRECT(DB$5&amp;$AR34+8)&amp;"-"&amp;2</f>
        <v>1387-2</v>
      </c>
      <c r="DC34" s="6" t="str" cm="1">
        <f t="array" aca="1" ref="DC34" ca="1">INDIRECT(DC$5&amp;$AR34+8)&amp;"-"&amp;1</f>
        <v>1386-1</v>
      </c>
      <c r="DD34" s="7" t="str" cm="1">
        <f t="array" aca="1" ref="DD34" ca="1">INDIRECT(DD$5&amp;$AR34+8)&amp;"-"&amp;2</f>
        <v>1386-2</v>
      </c>
      <c r="DE34" s="6" t="str" cm="1">
        <f t="array" aca="1" ref="DE34" ca="1">INDIRECT(DE$5&amp;$AR34+8)&amp;"-"&amp;1</f>
        <v>1385-1</v>
      </c>
      <c r="DF34" s="7" t="str" cm="1">
        <f t="array" aca="1" ref="DF34" ca="1">INDIRECT(DF$5&amp;$AR34+8)&amp;"-"&amp;2</f>
        <v>1385-2</v>
      </c>
      <c r="DG34" s="25" t="str" cm="1">
        <f t="array" aca="1" ref="DG34" ca="1">INDIRECT(DG$5&amp;$AR34+8)</f>
        <v>Border</v>
      </c>
      <c r="DH34" s="25" t="str" cm="1">
        <f t="array" aca="1" ref="DH34" ca="1">INDIRECT(DH$5&amp;$AR34+8)</f>
        <v>Border</v>
      </c>
    </row>
    <row r="35" spans="1:112" ht="40.049999999999997" customHeight="1" x14ac:dyDescent="0.45">
      <c r="A35" s="2"/>
      <c r="B35" s="3">
        <v>27</v>
      </c>
      <c r="C35" s="11" t="s">
        <v>9</v>
      </c>
      <c r="D35" s="11" t="s">
        <v>9</v>
      </c>
      <c r="E35" s="11" t="s">
        <v>9</v>
      </c>
      <c r="F35" s="11" t="s">
        <v>9</v>
      </c>
      <c r="G35" s="11" t="s">
        <v>9</v>
      </c>
      <c r="H35" s="11" t="s">
        <v>9</v>
      </c>
      <c r="I35" s="11" t="s">
        <v>9</v>
      </c>
      <c r="J35" s="11" t="s">
        <v>9</v>
      </c>
      <c r="K35" s="11" t="s">
        <v>9</v>
      </c>
      <c r="L35" s="11" t="s">
        <v>9</v>
      </c>
      <c r="M35" s="11" t="s">
        <v>9</v>
      </c>
      <c r="N35" s="11" t="s">
        <v>9</v>
      </c>
      <c r="O35" s="11" t="s">
        <v>9</v>
      </c>
      <c r="P35" s="11" t="s">
        <v>9</v>
      </c>
      <c r="Q35" s="11" t="s">
        <v>9</v>
      </c>
      <c r="R35" s="11" t="s">
        <v>9</v>
      </c>
      <c r="S35" s="11" t="s">
        <v>9</v>
      </c>
      <c r="T35" s="11" t="s">
        <v>9</v>
      </c>
      <c r="U35" s="11" t="s">
        <v>9</v>
      </c>
      <c r="V35" s="11" t="s">
        <v>9</v>
      </c>
      <c r="W35" s="11" t="s">
        <v>9</v>
      </c>
      <c r="X35" s="11" t="s">
        <v>9</v>
      </c>
      <c r="Y35" s="11" t="s">
        <v>9</v>
      </c>
      <c r="Z35" s="11" t="s">
        <v>9</v>
      </c>
      <c r="AA35" s="11" t="s">
        <v>9</v>
      </c>
      <c r="AB35" s="11" t="s">
        <v>9</v>
      </c>
      <c r="AC35" s="11" t="s">
        <v>9</v>
      </c>
      <c r="AD35" s="11" t="s">
        <v>9</v>
      </c>
      <c r="AE35" s="11" t="s">
        <v>9</v>
      </c>
      <c r="AF35" s="11" t="s">
        <v>9</v>
      </c>
      <c r="AG35" s="11" t="s">
        <v>9</v>
      </c>
      <c r="AH35" s="11" t="s">
        <v>9</v>
      </c>
      <c r="AI35" s="11" t="s">
        <v>9</v>
      </c>
      <c r="AJ35" s="11" t="s">
        <v>9</v>
      </c>
      <c r="AQ35" s="2"/>
      <c r="AR35" s="3">
        <v>27</v>
      </c>
      <c r="AS35" s="22" t="str" cm="1">
        <f t="array" aca="1" ref="AS35" ca="1">INDIRECT(AS$5&amp;$AR35+8)</f>
        <v>Border</v>
      </c>
      <c r="AT35" s="23" t="str" cm="1">
        <f t="array" aca="1" ref="AT35" ca="1">INDIRECT(AT$5&amp;$AR35+8)</f>
        <v>Border</v>
      </c>
      <c r="AU35" s="22" t="str" cm="1">
        <f t="array" aca="1" ref="AU35" ca="1">INDIRECT(AU$5&amp;$AR35+8)</f>
        <v>Border</v>
      </c>
      <c r="AV35" s="23" t="str" cm="1">
        <f t="array" aca="1" ref="AV35" ca="1">INDIRECT(AV$5&amp;$AR35+8)</f>
        <v>Border</v>
      </c>
      <c r="AW35" s="22" t="str" cm="1">
        <f t="array" aca="1" ref="AW35" ca="1">INDIRECT(AW$5&amp;$AR35+8)</f>
        <v>Border</v>
      </c>
      <c r="AX35" s="23" t="str" cm="1">
        <f t="array" aca="1" ref="AX35" ca="1">INDIRECT(AX$5&amp;$AR35+8)</f>
        <v>Border</v>
      </c>
      <c r="AY35" s="22" t="str" cm="1">
        <f t="array" aca="1" ref="AY35" ca="1">INDIRECT(AY$5&amp;$AR35+8)</f>
        <v>Border</v>
      </c>
      <c r="AZ35" s="23" t="str" cm="1">
        <f t="array" aca="1" ref="AZ35" ca="1">INDIRECT(AZ$5&amp;$AR35+8)</f>
        <v>Border</v>
      </c>
      <c r="BA35" s="22" t="str" cm="1">
        <f t="array" aca="1" ref="BA35" ca="1">INDIRECT(BA$5&amp;$AR35+8)</f>
        <v>Border</v>
      </c>
      <c r="BB35" s="23" t="str" cm="1">
        <f t="array" aca="1" ref="BB35" ca="1">INDIRECT(BB$5&amp;$AR35+8)</f>
        <v>Border</v>
      </c>
      <c r="BC35" s="22" t="str" cm="1">
        <f t="array" aca="1" ref="BC35" ca="1">INDIRECT(BC$5&amp;$AR35+8)</f>
        <v>Border</v>
      </c>
      <c r="BD35" s="23" t="str" cm="1">
        <f t="array" aca="1" ref="BD35" ca="1">INDIRECT(BD$5&amp;$AR35+8)</f>
        <v>Border</v>
      </c>
      <c r="BE35" s="22" t="str" cm="1">
        <f t="array" aca="1" ref="BE35" ca="1">INDIRECT(BE$5&amp;$AR35+8)</f>
        <v>Border</v>
      </c>
      <c r="BF35" s="23" t="str" cm="1">
        <f t="array" aca="1" ref="BF35" ca="1">INDIRECT(BF$5&amp;$AR35+8)</f>
        <v>Border</v>
      </c>
      <c r="BG35" s="22" t="str" cm="1">
        <f t="array" aca="1" ref="BG35" ca="1">INDIRECT(BG$5&amp;$AR35+8)</f>
        <v>Border</v>
      </c>
      <c r="BH35" s="23" t="str" cm="1">
        <f t="array" aca="1" ref="BH35" ca="1">INDIRECT(BH$5&amp;$AR35+8)</f>
        <v>Border</v>
      </c>
      <c r="BI35" s="22" t="str" cm="1">
        <f t="array" aca="1" ref="BI35" ca="1">INDIRECT(BI$5&amp;$AR35+8)</f>
        <v>Border</v>
      </c>
      <c r="BJ35" s="23" t="str" cm="1">
        <f t="array" aca="1" ref="BJ35" ca="1">INDIRECT(BJ$5&amp;$AR35+8)</f>
        <v>Border</v>
      </c>
      <c r="BK35" s="22" t="str" cm="1">
        <f t="array" aca="1" ref="BK35" ca="1">INDIRECT(BK$5&amp;$AR35+8)</f>
        <v>Border</v>
      </c>
      <c r="BL35" s="23" t="str" cm="1">
        <f t="array" aca="1" ref="BL35" ca="1">INDIRECT(BL$5&amp;$AR35+8)</f>
        <v>Border</v>
      </c>
      <c r="BM35" s="22" t="str" cm="1">
        <f t="array" aca="1" ref="BM35" ca="1">INDIRECT(BM$5&amp;$AR35+8)</f>
        <v>Border</v>
      </c>
      <c r="BN35" s="23" t="str" cm="1">
        <f t="array" aca="1" ref="BN35" ca="1">INDIRECT(BN$5&amp;$AR35+8)</f>
        <v>Border</v>
      </c>
      <c r="BO35" s="22" t="str" cm="1">
        <f t="array" aca="1" ref="BO35" ca="1">INDIRECT(BO$5&amp;$AR35+8)</f>
        <v>Border</v>
      </c>
      <c r="BP35" s="23" t="str" cm="1">
        <f t="array" aca="1" ref="BP35" ca="1">INDIRECT(BP$5&amp;$AR35+8)</f>
        <v>Border</v>
      </c>
      <c r="BQ35" s="22" t="str" cm="1">
        <f t="array" aca="1" ref="BQ35" ca="1">INDIRECT(BQ$5&amp;$AR35+8)</f>
        <v>Border</v>
      </c>
      <c r="BR35" s="23" t="str" cm="1">
        <f t="array" aca="1" ref="BR35" ca="1">INDIRECT(BR$5&amp;$AR35+8)</f>
        <v>Border</v>
      </c>
      <c r="BS35" s="22" t="str" cm="1">
        <f t="array" aca="1" ref="BS35" ca="1">INDIRECT(BS$5&amp;$AR35+8)</f>
        <v>Border</v>
      </c>
      <c r="BT35" s="23" t="str" cm="1">
        <f t="array" aca="1" ref="BT35" ca="1">INDIRECT(BT$5&amp;$AR35+8)</f>
        <v>Border</v>
      </c>
      <c r="BU35" s="22" t="str" cm="1">
        <f t="array" aca="1" ref="BU35" ca="1">INDIRECT(BU$5&amp;$AR35+8)</f>
        <v>Border</v>
      </c>
      <c r="BV35" s="23" t="str" cm="1">
        <f t="array" aca="1" ref="BV35" ca="1">INDIRECT(BV$5&amp;$AR35+8)</f>
        <v>Border</v>
      </c>
      <c r="BW35" s="22" t="str" cm="1">
        <f t="array" aca="1" ref="BW35" ca="1">INDIRECT(BW$5&amp;$AR35+8)</f>
        <v>Border</v>
      </c>
      <c r="BX35" s="23" t="str" cm="1">
        <f t="array" aca="1" ref="BX35" ca="1">INDIRECT(BX$5&amp;$AR35+8)</f>
        <v>Border</v>
      </c>
      <c r="BY35" s="22" t="str" cm="1">
        <f t="array" aca="1" ref="BY35" ca="1">INDIRECT(BY$5&amp;$AR35+8)</f>
        <v>Border</v>
      </c>
      <c r="BZ35" s="23" t="str" cm="1">
        <f t="array" aca="1" ref="BZ35" ca="1">INDIRECT(BZ$5&amp;$AR35+8)</f>
        <v>Border</v>
      </c>
      <c r="CA35" s="22" t="str" cm="1">
        <f t="array" aca="1" ref="CA35" ca="1">INDIRECT(CA$5&amp;$AR35+8)</f>
        <v>Border</v>
      </c>
      <c r="CB35" s="23" t="str" cm="1">
        <f t="array" aca="1" ref="CB35" ca="1">INDIRECT(CB$5&amp;$AR35+8)</f>
        <v>Border</v>
      </c>
      <c r="CC35" s="22" t="str" cm="1">
        <f t="array" aca="1" ref="CC35" ca="1">INDIRECT(CC$5&amp;$AR35+8)</f>
        <v>Border</v>
      </c>
      <c r="CD35" s="23" t="str" cm="1">
        <f t="array" aca="1" ref="CD35" ca="1">INDIRECT(CD$5&amp;$AR35+8)</f>
        <v>Border</v>
      </c>
      <c r="CE35" s="22" t="str" cm="1">
        <f t="array" aca="1" ref="CE35" ca="1">INDIRECT(CE$5&amp;$AR35+8)</f>
        <v>Border</v>
      </c>
      <c r="CF35" s="23" t="str" cm="1">
        <f t="array" aca="1" ref="CF35" ca="1">INDIRECT(CF$5&amp;$AR35+8)</f>
        <v>Border</v>
      </c>
      <c r="CG35" s="22" t="str" cm="1">
        <f t="array" aca="1" ref="CG35" ca="1">INDIRECT(CG$5&amp;$AR35+8)</f>
        <v>Border</v>
      </c>
      <c r="CH35" s="23" t="str" cm="1">
        <f t="array" aca="1" ref="CH35" ca="1">INDIRECT(CH$5&amp;$AR35+8)</f>
        <v>Border</v>
      </c>
      <c r="CI35" s="22" t="str" cm="1">
        <f t="array" aca="1" ref="CI35" ca="1">INDIRECT(CI$5&amp;$AR35+8)</f>
        <v>Border</v>
      </c>
      <c r="CJ35" s="23" t="str" cm="1">
        <f t="array" aca="1" ref="CJ35" ca="1">INDIRECT(CJ$5&amp;$AR35+8)</f>
        <v>Border</v>
      </c>
      <c r="CK35" s="22" t="str" cm="1">
        <f t="array" aca="1" ref="CK35" ca="1">INDIRECT(CK$5&amp;$AR35+8)</f>
        <v>Border</v>
      </c>
      <c r="CL35" s="23" t="str" cm="1">
        <f t="array" aca="1" ref="CL35" ca="1">INDIRECT(CL$5&amp;$AR35+8)</f>
        <v>Border</v>
      </c>
      <c r="CM35" s="22" t="str" cm="1">
        <f t="array" aca="1" ref="CM35" ca="1">INDIRECT(CM$5&amp;$AR35+8)</f>
        <v>Border</v>
      </c>
      <c r="CN35" s="23" t="str" cm="1">
        <f t="array" aca="1" ref="CN35" ca="1">INDIRECT(CN$5&amp;$AR35+8)</f>
        <v>Border</v>
      </c>
      <c r="CO35" s="22" t="str" cm="1">
        <f t="array" aca="1" ref="CO35" ca="1">INDIRECT(CO$5&amp;$AR35+8)</f>
        <v>Border</v>
      </c>
      <c r="CP35" s="23" t="str" cm="1">
        <f t="array" aca="1" ref="CP35" ca="1">INDIRECT(CP$5&amp;$AR35+8)</f>
        <v>Border</v>
      </c>
      <c r="CQ35" s="22" t="str" cm="1">
        <f t="array" aca="1" ref="CQ35" ca="1">INDIRECT(CQ$5&amp;$AR35+8)</f>
        <v>Border</v>
      </c>
      <c r="CR35" s="23" t="str" cm="1">
        <f t="array" aca="1" ref="CR35" ca="1">INDIRECT(CR$5&amp;$AR35+8)</f>
        <v>Border</v>
      </c>
      <c r="CS35" s="22" t="str" cm="1">
        <f t="array" aca="1" ref="CS35" ca="1">INDIRECT(CS$5&amp;$AR35+8)</f>
        <v>Border</v>
      </c>
      <c r="CT35" s="23" t="str" cm="1">
        <f t="array" aca="1" ref="CT35" ca="1">INDIRECT(CT$5&amp;$AR35+8)</f>
        <v>Border</v>
      </c>
      <c r="CU35" s="22" t="str" cm="1">
        <f t="array" aca="1" ref="CU35" ca="1">INDIRECT(CU$5&amp;$AR35+8)</f>
        <v>Border</v>
      </c>
      <c r="CV35" s="23" t="str" cm="1">
        <f t="array" aca="1" ref="CV35" ca="1">INDIRECT(CV$5&amp;$AR35+8)</f>
        <v>Border</v>
      </c>
      <c r="CW35" s="22" t="str" cm="1">
        <f t="array" aca="1" ref="CW35" ca="1">INDIRECT(CW$5&amp;$AR35+8)</f>
        <v>Border</v>
      </c>
      <c r="CX35" s="23" t="str" cm="1">
        <f t="array" aca="1" ref="CX35" ca="1">INDIRECT(CX$5&amp;$AR35+8)</f>
        <v>Border</v>
      </c>
      <c r="CY35" s="22" t="str" cm="1">
        <f t="array" aca="1" ref="CY35" ca="1">INDIRECT(CY$5&amp;$AR35+8)</f>
        <v>Border</v>
      </c>
      <c r="CZ35" s="23" t="str" cm="1">
        <f t="array" aca="1" ref="CZ35" ca="1">INDIRECT(CZ$5&amp;$AR35+8)</f>
        <v>Border</v>
      </c>
      <c r="DA35" s="22" t="str" cm="1">
        <f t="array" aca="1" ref="DA35" ca="1">INDIRECT(DA$5&amp;$AR35+8)</f>
        <v>Border</v>
      </c>
      <c r="DB35" s="23" t="str" cm="1">
        <f t="array" aca="1" ref="DB35" ca="1">INDIRECT(DB$5&amp;$AR35+8)</f>
        <v>Border</v>
      </c>
      <c r="DC35" s="22" t="str" cm="1">
        <f t="array" aca="1" ref="DC35" ca="1">INDIRECT(DC$5&amp;$AR35+8)</f>
        <v>Border</v>
      </c>
      <c r="DD35" s="23" t="str" cm="1">
        <f t="array" aca="1" ref="DD35" ca="1">INDIRECT(DD$5&amp;$AR35+8)</f>
        <v>Border</v>
      </c>
      <c r="DE35" s="22" t="str" cm="1">
        <f t="array" aca="1" ref="DE35" ca="1">INDIRECT(DE$5&amp;$AR35+8)</f>
        <v>Border</v>
      </c>
      <c r="DF35" s="23" t="str" cm="1">
        <f t="array" aca="1" ref="DF35" ca="1">INDIRECT(DF$5&amp;$AR35+8)</f>
        <v>Border</v>
      </c>
      <c r="DG35" s="25" t="str" cm="1">
        <f t="array" aca="1" ref="DG35" ca="1">INDIRECT(DG$5&amp;$AR35+8)</f>
        <v>Border</v>
      </c>
      <c r="DH35" s="25" t="str" cm="1">
        <f t="array" aca="1" ref="DH35" ca="1">INDIRECT(DH$5&amp;$AR35+8)</f>
        <v>Border</v>
      </c>
    </row>
    <row r="41" spans="1:112" x14ac:dyDescent="0.45">
      <c r="A41" s="2"/>
      <c r="B41" s="2"/>
      <c r="C41" s="3">
        <v>34</v>
      </c>
      <c r="D41" s="3">
        <v>33</v>
      </c>
      <c r="E41" s="3">
        <v>32</v>
      </c>
      <c r="F41" s="3">
        <v>31</v>
      </c>
      <c r="G41" s="3">
        <v>30</v>
      </c>
      <c r="H41" s="3">
        <v>29</v>
      </c>
      <c r="I41" s="3">
        <v>28</v>
      </c>
      <c r="J41" s="3">
        <v>27</v>
      </c>
      <c r="K41" s="3">
        <v>26</v>
      </c>
      <c r="L41" s="3">
        <v>25</v>
      </c>
      <c r="M41" s="3">
        <v>24</v>
      </c>
      <c r="N41" s="3">
        <v>23</v>
      </c>
      <c r="O41" s="3">
        <v>22</v>
      </c>
      <c r="P41" s="3">
        <v>21</v>
      </c>
      <c r="Q41" s="3">
        <v>20</v>
      </c>
      <c r="R41" s="3">
        <v>19</v>
      </c>
      <c r="S41" s="3">
        <v>18</v>
      </c>
      <c r="T41" s="3">
        <v>17</v>
      </c>
      <c r="U41" s="3">
        <v>16</v>
      </c>
      <c r="V41" s="3">
        <v>15</v>
      </c>
      <c r="W41" s="3">
        <v>14</v>
      </c>
      <c r="X41" s="3">
        <v>13</v>
      </c>
      <c r="Y41" s="3">
        <v>12</v>
      </c>
      <c r="Z41" s="3">
        <v>11</v>
      </c>
      <c r="AA41" s="3">
        <v>10</v>
      </c>
      <c r="AB41" s="3">
        <v>9</v>
      </c>
      <c r="AC41" s="3">
        <v>8</v>
      </c>
      <c r="AD41" s="3">
        <v>7</v>
      </c>
      <c r="AE41" s="3">
        <v>6</v>
      </c>
      <c r="AF41" s="3">
        <v>5</v>
      </c>
      <c r="AG41" s="3">
        <v>4</v>
      </c>
      <c r="AH41" s="3">
        <v>3</v>
      </c>
      <c r="AI41" s="3">
        <v>2</v>
      </c>
      <c r="AJ41" s="3">
        <v>1</v>
      </c>
    </row>
    <row r="42" spans="1:112" ht="34.15" x14ac:dyDescent="0.45">
      <c r="A42" s="3" t="s">
        <v>7</v>
      </c>
      <c r="B42" s="3">
        <v>1</v>
      </c>
      <c r="C42" s="11" t="s">
        <v>9</v>
      </c>
      <c r="D42" s="11" t="s">
        <v>9</v>
      </c>
      <c r="E42" s="11" t="s">
        <v>9</v>
      </c>
      <c r="F42" s="11" t="s">
        <v>9</v>
      </c>
      <c r="G42" s="11" t="s">
        <v>9</v>
      </c>
      <c r="H42" s="11" t="s">
        <v>9</v>
      </c>
      <c r="I42" s="11" t="s">
        <v>9</v>
      </c>
      <c r="J42" s="11" t="s">
        <v>9</v>
      </c>
      <c r="K42" s="11" t="s">
        <v>9</v>
      </c>
      <c r="L42" s="11" t="s">
        <v>9</v>
      </c>
      <c r="M42" s="11" t="s">
        <v>9</v>
      </c>
      <c r="N42" s="11" t="s">
        <v>9</v>
      </c>
      <c r="O42" s="11" t="s">
        <v>9</v>
      </c>
      <c r="P42" s="11" t="s">
        <v>9</v>
      </c>
      <c r="Q42" s="11" t="s">
        <v>9</v>
      </c>
      <c r="R42" s="11" t="s">
        <v>9</v>
      </c>
      <c r="S42" s="11" t="s">
        <v>9</v>
      </c>
      <c r="T42" s="11" t="s">
        <v>9</v>
      </c>
      <c r="U42" s="11" t="s">
        <v>9</v>
      </c>
      <c r="V42" s="11" t="s">
        <v>9</v>
      </c>
      <c r="W42" s="11" t="s">
        <v>9</v>
      </c>
      <c r="X42" s="11" t="s">
        <v>9</v>
      </c>
      <c r="Y42" s="11" t="s">
        <v>9</v>
      </c>
      <c r="Z42" s="11" t="s">
        <v>9</v>
      </c>
      <c r="AA42" s="11" t="s">
        <v>9</v>
      </c>
      <c r="AB42" s="11" t="s">
        <v>9</v>
      </c>
      <c r="AC42" s="11" t="s">
        <v>9</v>
      </c>
      <c r="AD42" s="11" t="s">
        <v>9</v>
      </c>
      <c r="AE42" s="11" t="s">
        <v>9</v>
      </c>
      <c r="AF42" s="11" t="s">
        <v>9</v>
      </c>
      <c r="AG42" s="11" t="s">
        <v>9</v>
      </c>
      <c r="AH42" s="11" t="s">
        <v>9</v>
      </c>
      <c r="AI42" s="11" t="s">
        <v>9</v>
      </c>
      <c r="AJ42" s="11" t="s">
        <v>9</v>
      </c>
    </row>
    <row r="43" spans="1:112" ht="62.65" x14ac:dyDescent="0.45">
      <c r="A43" s="2"/>
      <c r="B43" s="3">
        <v>2</v>
      </c>
      <c r="C43" s="11" t="s">
        <v>9</v>
      </c>
      <c r="D43" s="5" t="str">
        <f>VLOOKUP(D10,Index!$A:$F,6,FALSE)</f>
        <v>Il101</v>
      </c>
      <c r="E43" s="5" t="str">
        <f>VLOOKUP(E10,Index!$A:$F,6,FALSE)</f>
        <v>W117Ht</v>
      </c>
      <c r="F43" s="5" t="str">
        <f>VLOOKUP(F10,Index!$A:$F,6,FALSE)</f>
        <v>UFMu-07581</v>
      </c>
      <c r="G43" s="5" t="str">
        <f>VLOOKUP(G10,Index!$A:$F,6,FALSE)</f>
        <v>UFMu-08808</v>
      </c>
      <c r="H43" s="5" t="str">
        <f>VLOOKUP(H10,Index!$A:$F,6,FALSE)</f>
        <v>IDS69</v>
      </c>
      <c r="I43" s="5" t="str">
        <f>VLOOKUP(I10,Index!$A:$F,6,FALSE)</f>
        <v>779</v>
      </c>
      <c r="J43" s="5" t="str">
        <f>VLOOKUP(J10,Index!$A:$F,6,FALSE)</f>
        <v>NC302</v>
      </c>
      <c r="K43" s="5" t="str">
        <f>VLOOKUP(K10,Index!$A:$F,6,FALSE)</f>
        <v>NC364</v>
      </c>
      <c r="L43" s="5" t="str">
        <f>VLOOKUP(L10,Index!$A:$F,6,FALSE)</f>
        <v>B73</v>
      </c>
      <c r="M43" s="5" t="str">
        <f>VLOOKUP(M10,Index!$A:$F,6,FALSE)</f>
        <v>A556</v>
      </c>
      <c r="N43" s="5" t="str">
        <f>VLOOKUP(N10,Index!$A:$F,6,FALSE)</f>
        <v>NC262</v>
      </c>
      <c r="O43" s="5" t="str">
        <f>VLOOKUP(O10,Index!$A:$F,6,FALSE)</f>
        <v>NC360</v>
      </c>
      <c r="P43" s="5" t="str">
        <f>VLOOKUP(P10,Index!$A:$F,6,FALSE)</f>
        <v>CM37</v>
      </c>
      <c r="Q43" s="5" t="str">
        <f>VLOOKUP(Q10,Index!$A:$F,6,FALSE)</f>
        <v>W22</v>
      </c>
      <c r="R43" s="5" t="str">
        <f>VLOOKUP(R10,Index!$A:$F,6,FALSE)</f>
        <v>PHG47</v>
      </c>
      <c r="S43" s="5" t="str">
        <f>VLOOKUP(S10,Index!$A:$F,6,FALSE)</f>
        <v>Mo47</v>
      </c>
      <c r="T43" s="4" t="str">
        <f>VLOOKUP(T10,Index!$A:$F,6,FALSE)</f>
        <v>NC350</v>
      </c>
      <c r="U43" s="4" t="str">
        <f>VLOOKUP(U10,Index!$A:$F,6,FALSE)</f>
        <v>793</v>
      </c>
      <c r="V43" s="4" t="str">
        <f>VLOOKUP(V10,Index!$A:$F,6,FALSE)</f>
        <v>A635</v>
      </c>
      <c r="W43" s="4" t="str">
        <f>VLOOKUP(W10,Index!$A:$F,6,FALSE)</f>
        <v>VaW6</v>
      </c>
      <c r="X43" s="4" t="str">
        <f>VLOOKUP(X10,Index!$A:$F,6,FALSE)</f>
        <v>NC340</v>
      </c>
      <c r="Y43" s="4" t="str">
        <f>VLOOKUP(Y10,Index!$A:$F,6,FALSE)</f>
        <v>NC362</v>
      </c>
      <c r="Z43" s="4" t="str">
        <f>VLOOKUP(Z10,Index!$A:$F,6,FALSE)</f>
        <v>NC238</v>
      </c>
      <c r="AA43" s="4" t="str">
        <f>VLOOKUP(AA10,Index!$A:$F,6,FALSE)</f>
        <v>CO125</v>
      </c>
      <c r="AB43" s="4" t="str">
        <f>VLOOKUP(AB10,Index!$A:$F,6,FALSE)</f>
        <v>H95</v>
      </c>
      <c r="AC43" s="4" t="str">
        <f>VLOOKUP(AC10,Index!$A:$F,6,FALSE)</f>
        <v>807</v>
      </c>
      <c r="AD43" s="4" t="str">
        <f>VLOOKUP(AD10,Index!$A:$F,6,FALSE)</f>
        <v>NC310</v>
      </c>
      <c r="AE43" s="4" t="str">
        <f>VLOOKUP(AE10,Index!$A:$F,6,FALSE)</f>
        <v>KUI44</v>
      </c>
      <c r="AF43" s="4" t="str">
        <f>VLOOKUP(AF10,Index!$A:$F,6,FALSE)</f>
        <v>NC232</v>
      </c>
      <c r="AG43" s="4" t="str">
        <f>VLOOKUP(AG10,Index!$A:$F,6,FALSE)</f>
        <v>PHJ40</v>
      </c>
      <c r="AH43" s="4" t="str">
        <f>VLOOKUP(AH10,Index!$A:$F,6,FALSE)</f>
        <v>11430</v>
      </c>
      <c r="AI43" s="4" t="str">
        <f>VLOOKUP(AI10,Index!$A:$F,6,FALSE)</f>
        <v>LH93</v>
      </c>
      <c r="AJ43" s="11" t="s">
        <v>9</v>
      </c>
    </row>
    <row r="44" spans="1:112" ht="62.65" x14ac:dyDescent="0.45">
      <c r="A44" s="2"/>
      <c r="B44" s="3">
        <v>3</v>
      </c>
      <c r="C44" s="11" t="s">
        <v>9</v>
      </c>
      <c r="D44" s="5" t="str">
        <f>VLOOKUP(D11,Index!$A:$F,6,FALSE)</f>
        <v>UFMu-10402</v>
      </c>
      <c r="E44" s="5" t="str">
        <f>VLOOKUP(E11,Index!$A:$F,6,FALSE)</f>
        <v>F42</v>
      </c>
      <c r="F44" s="5" t="str">
        <f>VLOOKUP(F11,Index!$A:$F,6,FALSE)</f>
        <v>LH54</v>
      </c>
      <c r="G44" s="5" t="str">
        <f>VLOOKUP(G11,Index!$A:$F,6,FALSE)</f>
        <v>L127</v>
      </c>
      <c r="H44" s="5" t="str">
        <f>VLOOKUP(H11,Index!$A:$F,6,FALSE)</f>
        <v>B73</v>
      </c>
      <c r="I44" s="5" t="str">
        <f>VLOOKUP(I11,Index!$A:$F,6,FALSE)</f>
        <v>RS 710</v>
      </c>
      <c r="J44" s="5" t="str">
        <f>VLOOKUP(J11,Index!$A:$F,6,FALSE)</f>
        <v>UFMu-05595</v>
      </c>
      <c r="K44" s="5" t="str">
        <f>VLOOKUP(K11,Index!$A:$F,6,FALSE)</f>
        <v>I29</v>
      </c>
      <c r="L44" s="5" t="str">
        <f>VLOOKUP(L11,Index!$A:$F,6,FALSE)</f>
        <v>CM7</v>
      </c>
      <c r="M44" s="5" t="str">
        <f>VLOOKUP(M11,Index!$A:$F,6,FALSE)</f>
        <v>NC290A</v>
      </c>
      <c r="N44" s="5" t="str">
        <f>VLOOKUP(N11,Index!$A:$F,6,FALSE)</f>
        <v>NC346</v>
      </c>
      <c r="O44" s="5" t="str">
        <f>VLOOKUP(O11,Index!$A:$F,6,FALSE)</f>
        <v>UFMu-08805</v>
      </c>
      <c r="P44" s="5" t="str">
        <f>VLOOKUP(P11,Index!$A:$F,6,FALSE)</f>
        <v>B73</v>
      </c>
      <c r="Q44" s="5" t="str">
        <f>VLOOKUP(Q11,Index!$A:$F,6,FALSE)</f>
        <v>CML220</v>
      </c>
      <c r="R44" s="5" t="str">
        <f>VLOOKUP(R11,Index!$A:$F,6,FALSE)</f>
        <v>H99</v>
      </c>
      <c r="S44" s="5" t="str">
        <f>VLOOKUP(S11,Index!$A:$F,6,FALSE)</f>
        <v>29MIBZ2</v>
      </c>
      <c r="T44" s="4" t="str">
        <f>VLOOKUP(T11,Index!$A:$F,6,FALSE)</f>
        <v>K55</v>
      </c>
      <c r="U44" s="4" t="str">
        <f>VLOOKUP(U11,Index!$A:$F,6,FALSE)</f>
        <v>DE1</v>
      </c>
      <c r="V44" s="4" t="str">
        <f>VLOOKUP(V11,Index!$A:$F,6,FALSE)</f>
        <v>CM174</v>
      </c>
      <c r="W44" s="4" t="str">
        <f>VLOOKUP(W11,Index!$A:$F,6,FALSE)</f>
        <v>A554</v>
      </c>
      <c r="X44" s="4" t="str">
        <f>VLOOKUP(X11,Index!$A:$F,6,FALSE)</f>
        <v>Il14H</v>
      </c>
      <c r="Y44" s="4" t="str">
        <f>VLOOKUP(Y11,Index!$A:$F,6,FALSE)</f>
        <v>6F629</v>
      </c>
      <c r="Z44" s="4" t="str">
        <f>VLOOKUP(Z11,Index!$A:$F,6,FALSE)</f>
        <v>CH9</v>
      </c>
      <c r="AA44" s="4" t="str">
        <f>VLOOKUP(AA11,Index!$A:$F,6,FALSE)</f>
        <v>NC314</v>
      </c>
      <c r="AB44" s="4" t="str">
        <f>VLOOKUP(AB11,Index!$A:$F,6,FALSE)</f>
        <v>K148</v>
      </c>
      <c r="AC44" s="4" t="str">
        <f>VLOOKUP(AC11,Index!$A:$F,6,FALSE)</f>
        <v>B73</v>
      </c>
      <c r="AD44" s="4" t="str">
        <f>VLOOKUP(AD11,Index!$A:$F,6,FALSE)</f>
        <v>B104</v>
      </c>
      <c r="AE44" s="4" t="str">
        <f>VLOOKUP(AE11,Index!$A:$F,6,FALSE)</f>
        <v>Va17</v>
      </c>
      <c r="AF44" s="4" t="str">
        <f>VLOOKUP(AF11,Index!$A:$F,6,FALSE)</f>
        <v>ND246</v>
      </c>
      <c r="AG44" s="4" t="str">
        <f>VLOOKUP(AG11,Index!$A:$F,6,FALSE)</f>
        <v>PHN11</v>
      </c>
      <c r="AH44" s="4" t="str">
        <f>VLOOKUP(AH11,Index!$A:$F,6,FALSE)</f>
        <v>792</v>
      </c>
      <c r="AI44" s="4" t="str">
        <f>VLOOKUP(AI11,Index!$A:$F,6,FALSE)</f>
        <v>N192</v>
      </c>
      <c r="AJ44" s="11" t="s">
        <v>9</v>
      </c>
    </row>
    <row r="45" spans="1:112" ht="232.5" x14ac:dyDescent="0.45">
      <c r="A45" s="2"/>
      <c r="B45" s="3">
        <v>4</v>
      </c>
      <c r="C45" s="11" t="s">
        <v>9</v>
      </c>
      <c r="D45" s="5" t="str">
        <f>VLOOKUP(D12,Index!$A:$F,6,FALSE)</f>
        <v>UFMu-07868</v>
      </c>
      <c r="E45" s="5" t="str">
        <f>VLOOKUP(E12,Index!$A:$F,6,FALSE)</f>
        <v>UFMu-08594</v>
      </c>
      <c r="F45" s="5" t="str">
        <f>VLOOKUP(F12,Index!$A:$F,6,FALSE)</f>
        <v>UFMu-02421</v>
      </c>
      <c r="G45" s="5" t="str">
        <f>VLOOKUP(G12,Index!$A:$F,6,FALSE)</f>
        <v>W153R</v>
      </c>
      <c r="H45" s="5" t="str">
        <f>VLOOKUP(H12,Index!$A:$F,6,FALSE)</f>
        <v>EP1</v>
      </c>
      <c r="I45" s="5" t="str">
        <f>VLOOKUP(I12,Index!$A:$F,6,FALSE)</f>
        <v>P39</v>
      </c>
      <c r="J45" s="5" t="str">
        <f>VLOOKUP(J12,Index!$A:$F,6,FALSE)</f>
        <v>Yu796_NS</v>
      </c>
      <c r="K45" s="5" t="str">
        <f>VLOOKUP(K12,Index!$A:$F,6,FALSE)</f>
        <v>CO106</v>
      </c>
      <c r="L45" s="5" t="str">
        <f>VLOOKUP(L12,Index!$A:$F,6,FALSE)</f>
        <v>B73</v>
      </c>
      <c r="M45" s="5" t="str">
        <f>VLOOKUP(M12,Index!$A:$F,6,FALSE)</f>
        <v>B73</v>
      </c>
      <c r="N45" s="5" t="str">
        <f>VLOOKUP(N12,Index!$A:$F,6,FALSE)</f>
        <v>78010</v>
      </c>
      <c r="O45" s="5" t="str">
        <f>VLOOKUP(O12,Index!$A:$F,6,FALSE)</f>
        <v>[white variegated (iso. From bm4 Ac3252) (B73-1)]</v>
      </c>
      <c r="P45" s="5" t="str">
        <f>VLOOKUP(P12,Index!$A:$F,6,FALSE)</f>
        <v>A188</v>
      </c>
      <c r="Q45" s="5" t="str">
        <f>VLOOKUP(Q12,Index!$A:$F,6,FALSE)</f>
        <v>CI66</v>
      </c>
      <c r="R45" s="5" t="str">
        <f>VLOOKUP(R12,Index!$A:$F,6,FALSE)</f>
        <v>S8324</v>
      </c>
      <c r="S45" s="5" t="str">
        <f>VLOOKUP(S12,Index!$A:$F,6,FALSE)</f>
        <v>778</v>
      </c>
      <c r="T45" s="4" t="str">
        <f>VLOOKUP(T12,Index!$A:$F,6,FALSE)</f>
        <v>LH51</v>
      </c>
      <c r="U45" s="4" t="str">
        <f>VLOOKUP(U12,Index!$A:$F,6,FALSE)</f>
        <v>B73</v>
      </c>
      <c r="V45" s="4" t="str">
        <f>VLOOKUP(V12,Index!$A:$F,6,FALSE)</f>
        <v>78004</v>
      </c>
      <c r="W45" s="4" t="str">
        <f>VLOOKUP(W12,Index!$A:$F,6,FALSE)</f>
        <v>NC236</v>
      </c>
      <c r="X45" s="4" t="str">
        <f>VLOOKUP(X12,Index!$A:$F,6,FALSE)</f>
        <v>207</v>
      </c>
      <c r="Y45" s="4" t="str">
        <f>VLOOKUP(Y12,Index!$A:$F,6,FALSE)</f>
        <v>B73</v>
      </c>
      <c r="Z45" s="4" t="str">
        <f>VLOOKUP(Z12,Index!$A:$F,6,FALSE)</f>
        <v>H8431</v>
      </c>
      <c r="AA45" s="4" t="str">
        <f>VLOOKUP(AA12,Index!$A:$F,6,FALSE)</f>
        <v>LH82</v>
      </c>
      <c r="AB45" s="4" t="str">
        <f>VLOOKUP(AB12,Index!$A:$F,6,FALSE)</f>
        <v>NS501</v>
      </c>
      <c r="AC45" s="4" t="str">
        <f>VLOOKUP(AC12,Index!$A:$F,6,FALSE)</f>
        <v>Q381</v>
      </c>
      <c r="AD45" s="4" t="str">
        <f>VLOOKUP(AD12,Index!$A:$F,6,FALSE)</f>
        <v>CI31A</v>
      </c>
      <c r="AE45" s="4" t="str">
        <f>VLOOKUP(AE12,Index!$A:$F,6,FALSE)</f>
        <v>Va35</v>
      </c>
      <c r="AF45" s="4" t="str">
        <f>VLOOKUP(AF12,Index!$A:$F,6,FALSE)</f>
        <v>CML38</v>
      </c>
      <c r="AG45" s="4" t="str">
        <f>VLOOKUP(AG12,Index!$A:$F,6,FALSE)</f>
        <v>N6</v>
      </c>
      <c r="AH45" s="4" t="str">
        <f>VLOOKUP(AH12,Index!$A:$F,6,FALSE)</f>
        <v>I205</v>
      </c>
      <c r="AI45" s="4" t="str">
        <f>VLOOKUP(AI12,Index!$A:$F,6,FALSE)</f>
        <v>H105W</v>
      </c>
      <c r="AJ45" s="11" t="s">
        <v>9</v>
      </c>
    </row>
    <row r="46" spans="1:112" ht="62.65" x14ac:dyDescent="0.45">
      <c r="A46" s="2"/>
      <c r="B46" s="3">
        <v>5</v>
      </c>
      <c r="C46" s="11" t="s">
        <v>9</v>
      </c>
      <c r="D46" s="5" t="str">
        <f>VLOOKUP(D13,Index!$A:$F,6,FALSE)</f>
        <v>CML254</v>
      </c>
      <c r="E46" s="5" t="str">
        <f>VLOOKUP(E13,Index!$A:$F,6,FALSE)</f>
        <v>Tzi11</v>
      </c>
      <c r="F46" s="5" t="str">
        <f>VLOOKUP(F13,Index!$A:$F,6,FALSE)</f>
        <v>CML277</v>
      </c>
      <c r="G46" s="5" t="str">
        <f>VLOOKUP(G13,Index!$A:$F,6,FALSE)</f>
        <v>LH208</v>
      </c>
      <c r="H46" s="5" t="str">
        <f>VLOOKUP(H13,Index!$A:$F,6,FALSE)</f>
        <v>OH7B</v>
      </c>
      <c r="I46" s="5" t="str">
        <f>VLOOKUP(I13,Index!$A:$F,6,FALSE)</f>
        <v>IA2132</v>
      </c>
      <c r="J46" s="5" t="str">
        <f>VLOOKUP(J13,Index!$A:$F,6,FALSE)</f>
        <v>Mt42</v>
      </c>
      <c r="K46" s="5" t="str">
        <f>VLOOKUP(K13,Index!$A:$F,6,FALSE)</f>
        <v>NC230</v>
      </c>
      <c r="L46" s="5" t="str">
        <f>VLOOKUP(L13,Index!$A:$F,6,FALSE)</f>
        <v>A654</v>
      </c>
      <c r="M46" s="5" t="str">
        <f>VLOOKUP(M13,Index!$A:$F,6,FALSE)</f>
        <v>LH57</v>
      </c>
      <c r="N46" s="5" t="str">
        <f>VLOOKUP(N13,Index!$A:$F,6,FALSE)</f>
        <v>B73</v>
      </c>
      <c r="O46" s="5" t="str">
        <f>VLOOKUP(O13,Index!$A:$F,6,FALSE)</f>
        <v>UFMu-11445</v>
      </c>
      <c r="P46" s="5" t="str">
        <f>VLOOKUP(P13,Index!$A:$F,6,FALSE)</f>
        <v>CI187-2</v>
      </c>
      <c r="Q46" s="5" t="str">
        <f>VLOOKUP(Q13,Index!$A:$F,6,FALSE)</f>
        <v>W22 R1-r</v>
      </c>
      <c r="R46" s="5" t="str">
        <f>VLOOKUP(R13,Index!$A:$F,6,FALSE)</f>
        <v>F7</v>
      </c>
      <c r="S46" s="5" t="str">
        <f>VLOOKUP(S13,Index!$A:$F,6,FALSE)</f>
        <v>LH1</v>
      </c>
      <c r="T46" s="4" t="str">
        <f>VLOOKUP(T13,Index!$A:$F,6,FALSE)</f>
        <v>C103</v>
      </c>
      <c r="U46" s="4" t="str">
        <f>VLOOKUP(U13,Index!$A:$F,6,FALSE)</f>
        <v>A239</v>
      </c>
      <c r="V46" s="4" t="str">
        <f>VLOOKUP(V13,Index!$A:$F,6,FALSE)</f>
        <v>IDS91</v>
      </c>
      <c r="W46" s="4" t="str">
        <f>VLOOKUP(W13,Index!$A:$F,6,FALSE)</f>
        <v>Va14</v>
      </c>
      <c r="X46" s="4" t="str">
        <f>VLOOKUP(X13,Index!$A:$F,6,FALSE)</f>
        <v>MDF-13D</v>
      </c>
      <c r="Y46" s="4" t="str">
        <f>VLOOKUP(Y13,Index!$A:$F,6,FALSE)</f>
        <v>B73</v>
      </c>
      <c r="Z46" s="4" t="str">
        <f>VLOOKUP(Z13,Index!$A:$F,6,FALSE)</f>
        <v>B73</v>
      </c>
      <c r="AA46" s="4" t="str">
        <f>VLOOKUP(AA13,Index!$A:$F,6,FALSE)</f>
        <v>CMV3</v>
      </c>
      <c r="AB46" s="4" t="str">
        <f>VLOOKUP(AB13,Index!$A:$F,6,FALSE)</f>
        <v>SD44</v>
      </c>
      <c r="AC46" s="4" t="str">
        <f>VLOOKUP(AC13,Index!$A:$F,6,FALSE)</f>
        <v>A679</v>
      </c>
      <c r="AD46" s="4" t="str">
        <f>VLOOKUP(AD13,Index!$A:$F,6,FALSE)</f>
        <v>NC260</v>
      </c>
      <c r="AE46" s="4" t="str">
        <f>VLOOKUP(AE13,Index!$A:$F,6,FALSE)</f>
        <v>CML323</v>
      </c>
      <c r="AF46" s="4" t="str">
        <f>VLOOKUP(AF13,Index!$A:$F,6,FALSE)</f>
        <v>B79</v>
      </c>
      <c r="AG46" s="4" t="str">
        <f>VLOOKUP(AG13,Index!$A:$F,6,FALSE)</f>
        <v>CR1HT</v>
      </c>
      <c r="AH46" s="4" t="str">
        <f>VLOOKUP(AH13,Index!$A:$F,6,FALSE)</f>
        <v>B73</v>
      </c>
      <c r="AI46" s="4" t="str">
        <f>VLOOKUP(AI13,Index!$A:$F,6,FALSE)</f>
        <v>Va59</v>
      </c>
      <c r="AJ46" s="11" t="s">
        <v>9</v>
      </c>
    </row>
    <row r="47" spans="1:112" ht="232.5" x14ac:dyDescent="0.45">
      <c r="A47" s="2"/>
      <c r="B47" s="3">
        <v>6</v>
      </c>
      <c r="C47" s="11" t="s">
        <v>9</v>
      </c>
      <c r="D47" s="5" t="str">
        <f>VLOOKUP(D14,Index!$A:$F,6,FALSE)</f>
        <v>CML5</v>
      </c>
      <c r="E47" s="5" t="str">
        <f>VLOOKUP(E14,Index!$A:$F,6,FALSE)</f>
        <v>CML281</v>
      </c>
      <c r="F47" s="5" t="str">
        <f>VLOOKUP(F14,Index!$A:$F,6,FALSE)</f>
        <v>33-16</v>
      </c>
      <c r="G47" s="5" t="str">
        <f>VLOOKUP(G14,Index!$A:$F,6,FALSE)</f>
        <v>SC55</v>
      </c>
      <c r="H47" s="5" t="str">
        <f>VLOOKUP(H14,Index!$A:$F,6,FALSE)</f>
        <v>K4</v>
      </c>
      <c r="I47" s="5" t="str">
        <f>VLOOKUP(I14,Index!$A:$F,6,FALSE)</f>
        <v>CI3A</v>
      </c>
      <c r="J47" s="5" t="str">
        <f>VLOOKUP(J14,Index!$A:$F,6,FALSE)</f>
        <v>CML108</v>
      </c>
      <c r="K47" s="5" t="str">
        <f>VLOOKUP(K14,Index!$A:$F,6,FALSE)</f>
        <v>CML333</v>
      </c>
      <c r="L47" s="5" t="str">
        <f>VLOOKUP(L14,Index!$A:$F,6,FALSE)</f>
        <v>CML311</v>
      </c>
      <c r="M47" s="5" t="str">
        <f>VLOOKUP(M14,Index!$A:$F,6,FALSE)</f>
        <v>Pa91</v>
      </c>
      <c r="N47" s="5" t="str">
        <f>VLOOKUP(N14,Index!$A:$F,6,FALSE)</f>
        <v>MS71</v>
      </c>
      <c r="O47" s="5" t="str">
        <f>VLOOKUP(O14,Index!$A:$F,6,FALSE)</f>
        <v>LH150</v>
      </c>
      <c r="P47" s="5" t="str">
        <f>VLOOKUP(P14,Index!$A:$F,6,FALSE)</f>
        <v>SC357</v>
      </c>
      <c r="Q47" s="5" t="str">
        <f>VLOOKUP(Q14,Index!$A:$F,6,FALSE)</f>
        <v>D940Y</v>
      </c>
      <c r="R47" s="5" t="str">
        <f>VLOOKUP(R14,Index!$A:$F,6,FALSE)</f>
        <v>B73</v>
      </c>
      <c r="S47" s="5" t="str">
        <f>VLOOKUP(S14,Index!$A:$F,6,FALSE)</f>
        <v>[white variegated (iso. From bm4 Ac3252) (B73-1)]</v>
      </c>
      <c r="T47" s="4" t="str">
        <f>VLOOKUP(T14,Index!$A:$F,6,FALSE)</f>
        <v>Ia5125</v>
      </c>
      <c r="U47" s="4" t="str">
        <f>VLOOKUP(U14,Index!$A:$F,6,FALSE)</f>
        <v>CO255</v>
      </c>
      <c r="V47" s="4" t="str">
        <f>VLOOKUP(V14,Index!$A:$F,6,FALSE)</f>
        <v>Va22</v>
      </c>
      <c r="W47" s="4" t="str">
        <f>VLOOKUP(W14,Index!$A:$F,6,FALSE)</f>
        <v>Va99</v>
      </c>
      <c r="X47" s="4" t="str">
        <f>VLOOKUP(X14,Index!$A:$F,6,FALSE)</f>
        <v>VA102</v>
      </c>
      <c r="Y47" s="4" t="str">
        <f>VLOOKUP(Y14,Index!$A:$F,6,FALSE)</f>
        <v>[white variegated (iso. From bm4 Ac3252) (B73-1)]</v>
      </c>
      <c r="Z47" s="4" t="str">
        <f>VLOOKUP(Z14,Index!$A:$F,6,FALSE)</f>
        <v>LH183</v>
      </c>
      <c r="AA47" s="4" t="str">
        <f>VLOOKUP(AA14,Index!$A:$F,6,FALSE)</f>
        <v>B73</v>
      </c>
      <c r="AB47" s="4" t="str">
        <f>VLOOKUP(AB14,Index!$A:$F,6,FALSE)</f>
        <v>B57</v>
      </c>
      <c r="AC47" s="4" t="str">
        <f>VLOOKUP(AC14,Index!$A:$F,6,FALSE)</f>
        <v>A619</v>
      </c>
      <c r="AD47" s="4" t="str">
        <f>VLOOKUP(AD14,Index!$A:$F,6,FALSE)</f>
        <v>Oh43</v>
      </c>
      <c r="AE47" s="4" t="str">
        <f>VLOOKUP(AE14,Index!$A:$F,6,FALSE)</f>
        <v>Il677a</v>
      </c>
      <c r="AF47" s="4" t="str">
        <f>VLOOKUP(AF14,Index!$A:$F,6,FALSE)</f>
        <v>B64</v>
      </c>
      <c r="AG47" s="4" t="str">
        <f>VLOOKUP(AG14,Index!$A:$F,6,FALSE)</f>
        <v>PHG71</v>
      </c>
      <c r="AH47" s="4" t="str">
        <f>VLOOKUP(AH14,Index!$A:$F,6,FALSE)</f>
        <v>M14</v>
      </c>
      <c r="AI47" s="4" t="str">
        <f>VLOOKUP(AI14,Index!$A:$F,6,FALSE)</f>
        <v>Oh40B</v>
      </c>
      <c r="AJ47" s="11" t="s">
        <v>9</v>
      </c>
    </row>
    <row r="48" spans="1:112" ht="40.9" x14ac:dyDescent="0.45">
      <c r="A48" s="2"/>
      <c r="B48" s="3">
        <v>7</v>
      </c>
      <c r="C48" s="11" t="s">
        <v>9</v>
      </c>
      <c r="D48" s="5" t="str">
        <f>VLOOKUP(D15,Index!$A:$F,6,FALSE)</f>
        <v>NC294</v>
      </c>
      <c r="E48" s="5" t="str">
        <f>VLOOKUP(E15,Index!$A:$F,6,FALSE)</f>
        <v>Ki14</v>
      </c>
      <c r="F48" s="5" t="str">
        <f>VLOOKUP(F15,Index!$A:$F,6,FALSE)</f>
        <v>M37W</v>
      </c>
      <c r="G48" s="5" t="str">
        <f>VLOOKUP(G15,Index!$A:$F,6,FALSE)</f>
        <v>A661</v>
      </c>
      <c r="H48" s="5" t="str">
        <f>VLOOKUP(H15,Index!$A:$F,6,FALSE)</f>
        <v>Mo45</v>
      </c>
      <c r="I48" s="5" t="str">
        <f>VLOOKUP(I15,Index!$A:$F,6,FALSE)</f>
        <v>NC300</v>
      </c>
      <c r="J48" s="5" t="str">
        <f>VLOOKUP(J15,Index!$A:$F,6,FALSE)</f>
        <v>F6</v>
      </c>
      <c r="K48" s="5" t="str">
        <f>VLOOKUP(K15,Index!$A:$F,6,FALSE)</f>
        <v>B73</v>
      </c>
      <c r="L48" s="5" t="str">
        <f>VLOOKUP(L15,Index!$A:$F,6,FALSE)</f>
        <v>Tzi16</v>
      </c>
      <c r="M48" s="5" t="str">
        <f>VLOOKUP(M15,Index!$A:$F,6,FALSE)</f>
        <v>B73</v>
      </c>
      <c r="N48" s="5" t="str">
        <f>VLOOKUP(N15,Index!$A:$F,6,FALSE)</f>
        <v>NC320</v>
      </c>
      <c r="O48" s="5" t="str">
        <f>VLOOKUP(O15,Index!$A:$F,6,FALSE)</f>
        <v>4676A</v>
      </c>
      <c r="P48" s="5" t="str">
        <f>VLOOKUP(P15,Index!$A:$F,6,FALSE)</f>
        <v>5707</v>
      </c>
      <c r="Q48" s="5" t="str">
        <f>VLOOKUP(Q15,Index!$A:$F,6,FALSE)</f>
        <v>Mo44</v>
      </c>
      <c r="R48" s="5" t="str">
        <f>VLOOKUP(R15,Index!$A:$F,6,FALSE)</f>
        <v>NC356</v>
      </c>
      <c r="S48" s="5" t="str">
        <f>VLOOKUP(S15,Index!$A:$F,6,FALSE)</f>
        <v>NC258</v>
      </c>
      <c r="T48" s="4" t="str">
        <f>VLOOKUP(T15,Index!$A:$F,6,FALSE)</f>
        <v>LH145</v>
      </c>
      <c r="U48" s="4" t="str">
        <f>VLOOKUP(U15,Index!$A:$F,6,FALSE)</f>
        <v>B73</v>
      </c>
      <c r="V48" s="4" t="str">
        <f>VLOOKUP(V15,Index!$A:$F,6,FALSE)</f>
        <v>SD40</v>
      </c>
      <c r="W48" s="4" t="str">
        <f>VLOOKUP(W15,Index!$A:$F,6,FALSE)</f>
        <v>HB8229</v>
      </c>
      <c r="X48" s="4" t="str">
        <f>VLOOKUP(X15,Index!$A:$F,6,FALSE)</f>
        <v>CI91B</v>
      </c>
      <c r="Y48" s="4" t="str">
        <f>VLOOKUP(Y15,Index!$A:$F,6,FALSE)</f>
        <v>W182B</v>
      </c>
      <c r="Z48" s="4" t="str">
        <f>VLOOKUP(Z15,Index!$A:$F,6,FALSE)</f>
        <v>CM105</v>
      </c>
      <c r="AA48" s="4" t="str">
        <f>VLOOKUP(AA15,Index!$A:$F,6,FALSE)</f>
        <v>CML247</v>
      </c>
      <c r="AB48" s="4" t="str">
        <f>VLOOKUP(AB15,Index!$A:$F,6,FALSE)</f>
        <v>BO9</v>
      </c>
      <c r="AC48" s="4" t="str">
        <f>VLOOKUP(AC15,Index!$A:$F,6,FALSE)</f>
        <v>MS1334</v>
      </c>
      <c r="AD48" s="4" t="str">
        <f>VLOOKUP(AD15,Index!$A:$F,6,FALSE)</f>
        <v>LH38</v>
      </c>
      <c r="AE48" s="4" t="str">
        <f>VLOOKUP(AE15,Index!$A:$F,6,FALSE)</f>
        <v>PHG86</v>
      </c>
      <c r="AF48" s="4" t="str">
        <f>VLOOKUP(AF15,Index!$A:$F,6,FALSE)</f>
        <v>B73</v>
      </c>
      <c r="AG48" s="4" t="str">
        <f>VLOOKUP(AG15,Index!$A:$F,6,FALSE)</f>
        <v>AQA3</v>
      </c>
      <c r="AH48" s="4" t="str">
        <f>VLOOKUP(AH15,Index!$A:$F,6,FALSE)</f>
        <v>PHG72</v>
      </c>
      <c r="AI48" s="4" t="str">
        <f>VLOOKUP(AI15,Index!$A:$F,6,FALSE)</f>
        <v>764</v>
      </c>
      <c r="AJ48" s="11" t="s">
        <v>9</v>
      </c>
    </row>
    <row r="49" spans="1:36" ht="49.9" x14ac:dyDescent="0.45">
      <c r="A49" s="2"/>
      <c r="B49" s="3">
        <v>8</v>
      </c>
      <c r="C49" s="11" t="s">
        <v>9</v>
      </c>
      <c r="D49" s="5" t="str">
        <f>VLOOKUP(D16,Index!$A:$F,6,FALSE)</f>
        <v>Kui2021</v>
      </c>
      <c r="E49" s="5" t="str">
        <f>VLOOKUP(E16,Index!$A:$F,6,FALSE)</f>
        <v>38-11</v>
      </c>
      <c r="F49" s="5" t="str">
        <f>VLOOKUP(F16,Index!$A:$F,6,FALSE)</f>
        <v>Tx601</v>
      </c>
      <c r="G49" s="5" t="str">
        <f>VLOOKUP(G16,Index!$A:$F,6,FALSE)</f>
        <v>CI.7</v>
      </c>
      <c r="H49" s="5" t="str">
        <f>VLOOKUP(H16,Index!$A:$F,6,FALSE)</f>
        <v>LH123HT</v>
      </c>
      <c r="I49" s="5" t="str">
        <f>VLOOKUP(I16,Index!$A:$F,6,FALSE)</f>
        <v>T8</v>
      </c>
      <c r="J49" s="5" t="str">
        <f>VLOOKUP(J16,Index!$A:$F,6,FALSE)</f>
        <v>B73</v>
      </c>
      <c r="K49" s="5" t="str">
        <f>VLOOKUP(K16,Index!$A:$F,6,FALSE)</f>
        <v>B73Htrhm</v>
      </c>
      <c r="L49" s="5" t="str">
        <f>VLOOKUP(L16,Index!$A:$F,6,FALSE)</f>
        <v>Os420</v>
      </c>
      <c r="M49" s="5" t="str">
        <f>VLOOKUP(M16,Index!$A:$F,6,FALSE)</f>
        <v>Mo24W</v>
      </c>
      <c r="N49" s="5" t="str">
        <f>VLOOKUP(N16,Index!$A:$F,6,FALSE)</f>
        <v>CML69</v>
      </c>
      <c r="O49" s="5" t="str">
        <f>VLOOKUP(O16,Index!$A:$F,6,FALSE)</f>
        <v>CML103</v>
      </c>
      <c r="P49" s="5" t="str">
        <f>VLOOKUP(P16,Index!$A:$F,6,FALSE)</f>
        <v>LH213</v>
      </c>
      <c r="Q49" s="5" t="str">
        <f>VLOOKUP(Q16,Index!$A:$F,6,FALSE)</f>
        <v>R168</v>
      </c>
      <c r="R49" s="5" t="str">
        <f>VLOOKUP(R16,Index!$A:$F,6,FALSE)</f>
        <v>Tzi25</v>
      </c>
      <c r="S49" s="5" t="str">
        <f>VLOOKUP(S16,Index!$A:$F,6,FALSE)</f>
        <v>NC250</v>
      </c>
      <c r="T49" s="4" t="str">
        <f>VLOOKUP(T16,Index!$A:$F,6,FALSE)</f>
        <v>MBST</v>
      </c>
      <c r="U49" s="4" t="str">
        <f>VLOOKUP(U16,Index!$A:$F,6,FALSE)</f>
        <v>A634</v>
      </c>
      <c r="V49" s="4" t="str">
        <f>VLOOKUP(V16,Index!$A:$F,6,FALSE)</f>
        <v>PHK76</v>
      </c>
      <c r="W49" s="4" t="str">
        <f>VLOOKUP(W16,Index!$A:$F,6,FALSE)</f>
        <v>PHT77</v>
      </c>
      <c r="X49" s="4" t="str">
        <f>VLOOKUP(X16,Index!$A:$F,6,FALSE)</f>
        <v>PHV63</v>
      </c>
      <c r="Y49" s="4" t="str">
        <f>VLOOKUP(Y16,Index!$A:$F,6,FALSE)</f>
        <v>2MA22</v>
      </c>
      <c r="Z49" s="4" t="str">
        <f>VLOOKUP(Z16,Index!$A:$F,6,FALSE)</f>
        <v>G80</v>
      </c>
      <c r="AA49" s="4" t="str">
        <f>VLOOKUP(AA16,Index!$A:$F,6,FALSE)</f>
        <v>PHG35</v>
      </c>
      <c r="AB49" s="4" t="str">
        <f>VLOOKUP(AB16,Index!$A:$F,6,FALSE)</f>
        <v>CI90C</v>
      </c>
      <c r="AC49" s="4" t="str">
        <f>VLOOKUP(AC16,Index!$A:$F,6,FALSE)</f>
        <v>CML238</v>
      </c>
      <c r="AD49" s="4" t="str">
        <f>VLOOKUP(AD16,Index!$A:$F,6,FALSE)</f>
        <v>NC296</v>
      </c>
      <c r="AE49" s="4" t="str">
        <f>VLOOKUP(AE16,Index!$A:$F,6,FALSE)</f>
        <v>N28Ht</v>
      </c>
      <c r="AF49" s="4" t="str">
        <f>VLOOKUP(AF16,Index!$A:$F,6,FALSE)</f>
        <v>A659</v>
      </c>
      <c r="AG49" s="4" t="str">
        <f>VLOOKUP(AG16,Index!$A:$F,6,FALSE)</f>
        <v>PHG50</v>
      </c>
      <c r="AH49" s="4" t="str">
        <f>VLOOKUP(AH16,Index!$A:$F,6,FALSE)</f>
        <v>B73</v>
      </c>
      <c r="AI49" s="4" t="str">
        <f>VLOOKUP(AI16,Index!$A:$F,6,FALSE)</f>
        <v>ML606</v>
      </c>
      <c r="AJ49" s="11" t="s">
        <v>9</v>
      </c>
    </row>
    <row r="50" spans="1:36" ht="40.5" x14ac:dyDescent="0.45">
      <c r="A50" s="2"/>
      <c r="B50" s="3">
        <v>9</v>
      </c>
      <c r="C50" s="11" t="s">
        <v>9</v>
      </c>
      <c r="D50" s="5" t="str">
        <f>VLOOKUP(D17,Index!$A:$F,6,FALSE)</f>
        <v>CML92</v>
      </c>
      <c r="E50" s="5" t="str">
        <f>VLOOKUP(E17,Index!$A:$F,6,FALSE)</f>
        <v>4226</v>
      </c>
      <c r="F50" s="5" t="str">
        <f>VLOOKUP(F17,Index!$A:$F,6,FALSE)</f>
        <v>CML261</v>
      </c>
      <c r="G50" s="5" t="str">
        <f>VLOOKUP(G17,Index!$A:$F,6,FALSE)</f>
        <v>R109B</v>
      </c>
      <c r="H50" s="5" t="str">
        <f>VLOOKUP(H17,Index!$A:$F,6,FALSE)</f>
        <v>CML331</v>
      </c>
      <c r="I50" s="5" t="str">
        <f>VLOOKUP(I17,Index!$A:$F,6,FALSE)</f>
        <v>L578</v>
      </c>
      <c r="J50" s="5" t="str">
        <f>VLOOKUP(J17,Index!$A:$F,6,FALSE)</f>
        <v>B73</v>
      </c>
      <c r="K50" s="5" t="str">
        <f>VLOOKUP(K17,Index!$A:$F,6,FALSE)</f>
        <v>CML287</v>
      </c>
      <c r="L50" s="5" t="str">
        <f>VLOOKUP(L17,Index!$A:$F,6,FALSE)</f>
        <v>B73</v>
      </c>
      <c r="M50" s="5" t="str">
        <f>VLOOKUP(M17,Index!$A:$F,6,FALSE)</f>
        <v>L317</v>
      </c>
      <c r="N50" s="5" t="str">
        <f>VLOOKUP(N17,Index!$A:$F,6,FALSE)</f>
        <v>F2834T</v>
      </c>
      <c r="O50" s="5" t="str">
        <f>VLOOKUP(O17,Index!$A:$F,6,FALSE)</f>
        <v>Tx303</v>
      </c>
      <c r="P50" s="5" t="str">
        <f>VLOOKUP(P17,Index!$A:$F,6,FALSE)</f>
        <v>NC318</v>
      </c>
      <c r="Q50" s="5" t="str">
        <f>VLOOKUP(Q17,Index!$A:$F,6,FALSE)</f>
        <v>CML321</v>
      </c>
      <c r="R50" s="5" t="str">
        <f>VLOOKUP(R17,Index!$A:$F,6,FALSE)</f>
        <v>Sg18</v>
      </c>
      <c r="S50" s="5" t="str">
        <f>VLOOKUP(S17,Index!$A:$F,6,FALSE)</f>
        <v>A441-5</v>
      </c>
      <c r="T50" s="4" t="str">
        <f>VLOOKUP(T17,Index!$A:$F,6,FALSE)</f>
        <v>Pa91</v>
      </c>
      <c r="U50" s="4" t="str">
        <f>VLOOKUP(U17,Index!$A:$F,6,FALSE)</f>
        <v>CML281</v>
      </c>
      <c r="V50" s="4" t="str">
        <f>VLOOKUP(V17,Index!$A:$F,6,FALSE)</f>
        <v>NC356</v>
      </c>
      <c r="W50" s="4" t="str">
        <f>VLOOKUP(W17,Index!$A:$F,6,FALSE)</f>
        <v>LH150</v>
      </c>
      <c r="X50" s="4" t="str">
        <f>VLOOKUP(X17,Index!$A:$F,6,FALSE)</f>
        <v>Tzi25</v>
      </c>
      <c r="Y50" s="4" t="str">
        <f>VLOOKUP(Y17,Index!$A:$F,6,FALSE)</f>
        <v>T8</v>
      </c>
      <c r="Z50" s="4" t="str">
        <f>VLOOKUP(Z17,Index!$A:$F,6,FALSE)</f>
        <v>M37W</v>
      </c>
      <c r="AA50" s="4" t="str">
        <f>VLOOKUP(AA17,Index!$A:$F,6,FALSE)</f>
        <v>Pa762</v>
      </c>
      <c r="AB50" s="4" t="str">
        <f>VLOOKUP(AB17,Index!$A:$F,6,FALSE)</f>
        <v>LH85</v>
      </c>
      <c r="AC50" s="4" t="str">
        <f>VLOOKUP(AC17,Index!$A:$F,6,FALSE)</f>
        <v>ZS365</v>
      </c>
      <c r="AD50" s="4" t="str">
        <f>VLOOKUP(AD17,Index!$A:$F,6,FALSE)</f>
        <v>NC264</v>
      </c>
      <c r="AE50" s="4" t="str">
        <f>VLOOKUP(AE17,Index!$A:$F,6,FALSE)</f>
        <v>DE_2</v>
      </c>
      <c r="AF50" s="4" t="str">
        <f>VLOOKUP(AF17,Index!$A:$F,6,FALSE)</f>
        <v>3IIH6</v>
      </c>
      <c r="AG50" s="4" t="str">
        <f>VLOOKUP(AG17,Index!$A:$F,6,FALSE)</f>
        <v>C49A</v>
      </c>
      <c r="AH50" s="4" t="str">
        <f>VLOOKUP(AH17,Index!$A:$F,6,FALSE)</f>
        <v>B73</v>
      </c>
      <c r="AI50" s="4" t="str">
        <f>VLOOKUP(AI17,Index!$A:$F,6,FALSE)</f>
        <v>LP5</v>
      </c>
      <c r="AJ50" s="11" t="s">
        <v>9</v>
      </c>
    </row>
    <row r="51" spans="1:36" ht="48" x14ac:dyDescent="0.45">
      <c r="A51" s="2"/>
      <c r="B51" s="3">
        <v>10</v>
      </c>
      <c r="C51" s="11" t="s">
        <v>9</v>
      </c>
      <c r="D51" s="5" t="str">
        <f>VLOOKUP(D18,Index!$A:$F,6,FALSE)</f>
        <v>PHG86</v>
      </c>
      <c r="E51" s="5" t="str">
        <f>VLOOKUP(E18,Index!$A:$F,6,FALSE)</f>
        <v>M14</v>
      </c>
      <c r="F51" s="5" t="str">
        <f>VLOOKUP(F18,Index!$A:$F,6,FALSE)</f>
        <v>B73</v>
      </c>
      <c r="G51" s="5" t="str">
        <f>VLOOKUP(G18,Index!$A:$F,6,FALSE)</f>
        <v>NC260</v>
      </c>
      <c r="H51" s="5" t="str">
        <f>VLOOKUP(H18,Index!$A:$F,6,FALSE)</f>
        <v>A641</v>
      </c>
      <c r="I51" s="5" t="str">
        <f>VLOOKUP(I18,Index!$A:$F,6,FALSE)</f>
        <v>CML10</v>
      </c>
      <c r="J51" s="5" t="str">
        <f>VLOOKUP(J18,Index!$A:$F,6,FALSE)</f>
        <v>Tzi18</v>
      </c>
      <c r="K51" s="5" t="str">
        <f>VLOOKUP(K18,Index!$A:$F,6,FALSE)</f>
        <v>CML52</v>
      </c>
      <c r="L51" s="5" t="str">
        <f>VLOOKUP(L18,Index!$A:$F,6,FALSE)</f>
        <v>B75</v>
      </c>
      <c r="M51" s="5" t="str">
        <f>VLOOKUP(M18,Index!$A:$F,6,FALSE)</f>
        <v>NC33</v>
      </c>
      <c r="N51" s="5" t="str">
        <f>VLOOKUP(N18,Index!$A:$F,6,FALSE)</f>
        <v>B73</v>
      </c>
      <c r="O51" s="5" t="str">
        <f>VLOOKUP(O18,Index!$A:$F,6,FALSE)</f>
        <v>Ky226</v>
      </c>
      <c r="P51" s="5" t="str">
        <f>VLOOKUP(P18,Index!$A:$F,6,FALSE)</f>
        <v>A6</v>
      </c>
      <c r="Q51" s="5" t="str">
        <f>VLOOKUP(Q18,Index!$A:$F,6,FALSE)</f>
        <v>Tzi9</v>
      </c>
      <c r="R51" s="5" t="str">
        <f>VLOOKUP(R18,Index!$A:$F,6,FALSE)</f>
        <v>CML157Q</v>
      </c>
      <c r="S51" s="5" t="str">
        <f>VLOOKUP(S18,Index!$A:$F,6,FALSE)</f>
        <v>PHR36</v>
      </c>
      <c r="T51" s="4" t="str">
        <f>VLOOKUP(T18,Index!$A:$F,6,FALSE)</f>
        <v>LH123HT</v>
      </c>
      <c r="U51" s="4" t="str">
        <f>VLOOKUP(U18,Index!$A:$F,6,FALSE)</f>
        <v>CML5</v>
      </c>
      <c r="V51" s="4" t="str">
        <f>VLOOKUP(V18,Index!$A:$F,6,FALSE)</f>
        <v>Os420</v>
      </c>
      <c r="W51" s="4" t="str">
        <f>VLOOKUP(W18,Index!$A:$F,6,FALSE)</f>
        <v>CML333</v>
      </c>
      <c r="X51" s="4" t="str">
        <f>VLOOKUP(X18,Index!$A:$F,6,FALSE)</f>
        <v>CML254</v>
      </c>
      <c r="Y51" s="4" t="str">
        <f>VLOOKUP(Y18,Index!$A:$F,6,FALSE)</f>
        <v>F6</v>
      </c>
      <c r="Z51" s="4" t="str">
        <f>VLOOKUP(Z18,Index!$A:$F,6,FALSE)</f>
        <v>SC55</v>
      </c>
      <c r="AA51" s="4" t="str">
        <f>VLOOKUP(AA18,Index!$A:$F,6,FALSE)</f>
        <v>LH213</v>
      </c>
      <c r="AB51" s="4" t="str">
        <f>VLOOKUP(AB18,Index!$A:$F,6,FALSE)</f>
        <v>D940Y</v>
      </c>
      <c r="AC51" s="4" t="str">
        <f>VLOOKUP(AC18,Index!$A:$F,6,FALSE)</f>
        <v>B73</v>
      </c>
      <c r="AD51" s="4" t="str">
        <f>VLOOKUP(AD18,Index!$A:$F,6,FALSE)</f>
        <v>Mo44</v>
      </c>
      <c r="AE51" s="4" t="str">
        <f>VLOOKUP(AE18,Index!$A:$F,6,FALSE)</f>
        <v>CML103</v>
      </c>
      <c r="AF51" s="4" t="str">
        <f>VLOOKUP(AF18,Index!$A:$F,6,FALSE)</f>
        <v>33-16</v>
      </c>
      <c r="AG51" s="4" t="str">
        <f>VLOOKUP(AG18,Index!$A:$F,6,FALSE)</f>
        <v>NC300</v>
      </c>
      <c r="AH51" s="4" t="str">
        <f>VLOOKUP(AH18,Index!$A:$F,6,FALSE)</f>
        <v>CI3A</v>
      </c>
      <c r="AI51" s="4" t="str">
        <f>VLOOKUP(AI18,Index!$A:$F,6,FALSE)</f>
        <v>CML277</v>
      </c>
      <c r="AJ51" s="11" t="s">
        <v>9</v>
      </c>
    </row>
    <row r="52" spans="1:36" ht="232.5" x14ac:dyDescent="0.45">
      <c r="A52" s="2"/>
      <c r="B52" s="3">
        <v>11</v>
      </c>
      <c r="C52" s="11" t="s">
        <v>9</v>
      </c>
      <c r="D52" s="5" t="str">
        <f>VLOOKUP(D19,Index!$A:$F,6,FALSE)</f>
        <v>A239</v>
      </c>
      <c r="E52" s="5" t="str">
        <f>VLOOKUP(E19,Index!$A:$F,6,FALSE)</f>
        <v>VaW6</v>
      </c>
      <c r="F52" s="5" t="str">
        <f>VLOOKUP(F19,Index!$A:$F,6,FALSE)</f>
        <v>HB8229</v>
      </c>
      <c r="G52" s="5" t="str">
        <f>VLOOKUP(G19,Index!$A:$F,6,FALSE)</f>
        <v>PHT77</v>
      </c>
      <c r="H52" s="5" t="str">
        <f>VLOOKUP(H19,Index!$A:$F,6,FALSE)</f>
        <v>LH82</v>
      </c>
      <c r="I52" s="5" t="str">
        <f>VLOOKUP(I19,Index!$A:$F,6,FALSE)</f>
        <v>Va35</v>
      </c>
      <c r="J52" s="5" t="str">
        <f>VLOOKUP(J19,Index!$A:$F,6,FALSE)</f>
        <v>DE_2</v>
      </c>
      <c r="K52" s="5" t="str">
        <f>VLOOKUP(K19,Index!$A:$F,6,FALSE)</f>
        <v>SD40</v>
      </c>
      <c r="L52" s="5" t="str">
        <f>VLOOKUP(L19,Index!$A:$F,6,FALSE)</f>
        <v>I205</v>
      </c>
      <c r="M52" s="5" t="str">
        <f>VLOOKUP(M19,Index!$A:$F,6,FALSE)</f>
        <v>G80</v>
      </c>
      <c r="N52" s="5" t="str">
        <f>VLOOKUP(N19,Index!$A:$F,6,FALSE)</f>
        <v>B73</v>
      </c>
      <c r="O52" s="5" t="str">
        <f>VLOOKUP(O19,Index!$A:$F,6,FALSE)</f>
        <v>NC350</v>
      </c>
      <c r="P52" s="5" t="str">
        <f>VLOOKUP(P19,Index!$A:$F,6,FALSE)</f>
        <v>ML606</v>
      </c>
      <c r="Q52" s="5" t="str">
        <f>VLOOKUP(Q19,Index!$A:$F,6,FALSE)</f>
        <v>C49A</v>
      </c>
      <c r="R52" s="5" t="str">
        <f>VLOOKUP(R19,Index!$A:$F,6,FALSE)</f>
        <v>CM174</v>
      </c>
      <c r="S52" s="5" t="str">
        <f>VLOOKUP(S19,Index!$A:$F,6,FALSE)</f>
        <v>PHN11</v>
      </c>
      <c r="T52" s="4" t="str">
        <f>VLOOKUP(T19,Index!$A:$F,6,FALSE)</f>
        <v>Ki14</v>
      </c>
      <c r="U52" s="4" t="str">
        <f>VLOOKUP(U19,Index!$A:$F,6,FALSE)</f>
        <v>SC357</v>
      </c>
      <c r="V52" s="4" t="str">
        <f>VLOOKUP(V19,Index!$A:$F,6,FALSE)</f>
        <v>[white variegated (iso. From bm4 Ac3252) (B73-1)]</v>
      </c>
      <c r="W52" s="4" t="str">
        <f>VLOOKUP(W19,Index!$A:$F,6,FALSE)</f>
        <v>K4</v>
      </c>
      <c r="X52" s="4" t="str">
        <f>VLOOKUP(X19,Index!$A:$F,6,FALSE)</f>
        <v>B73Htrhm</v>
      </c>
      <c r="Y52" s="4" t="str">
        <f>VLOOKUP(Y19,Index!$A:$F,6,FALSE)</f>
        <v>LH208</v>
      </c>
      <c r="Z52" s="4" t="str">
        <f>VLOOKUP(Z19,Index!$A:$F,6,FALSE)</f>
        <v>NC258</v>
      </c>
      <c r="AA52" s="4" t="str">
        <f>VLOOKUP(AA19,Index!$A:$F,6,FALSE)</f>
        <v>CML69</v>
      </c>
      <c r="AB52" s="4" t="str">
        <f>VLOOKUP(AB19,Index!$A:$F,6,FALSE)</f>
        <v>MS71</v>
      </c>
      <c r="AC52" s="4" t="str">
        <f>VLOOKUP(AC19,Index!$A:$F,6,FALSE)</f>
        <v>B73</v>
      </c>
      <c r="AD52" s="4" t="str">
        <f>VLOOKUP(AD19,Index!$A:$F,6,FALSE)</f>
        <v>R168</v>
      </c>
      <c r="AE52" s="4" t="str">
        <f>VLOOKUP(AE19,Index!$A:$F,6,FALSE)</f>
        <v>B73</v>
      </c>
      <c r="AF52" s="4" t="str">
        <f>VLOOKUP(AF19,Index!$A:$F,6,FALSE)</f>
        <v>A661</v>
      </c>
      <c r="AG52" s="4" t="str">
        <f>VLOOKUP(AG19,Index!$A:$F,6,FALSE)</f>
        <v>CML311</v>
      </c>
      <c r="AH52" s="4" t="str">
        <f>VLOOKUP(AH19,Index!$A:$F,6,FALSE)</f>
        <v>NC320</v>
      </c>
      <c r="AI52" s="4" t="str">
        <f>VLOOKUP(AI19,Index!$A:$F,6,FALSE)</f>
        <v>B73</v>
      </c>
      <c r="AJ52" s="11" t="s">
        <v>9</v>
      </c>
    </row>
    <row r="53" spans="1:36" ht="40.5" x14ac:dyDescent="0.45">
      <c r="A53" s="2"/>
      <c r="B53" s="3">
        <v>12</v>
      </c>
      <c r="C53" s="11" t="s">
        <v>9</v>
      </c>
      <c r="D53" s="5" t="str">
        <f>VLOOKUP(D20,Index!$A:$F,6,FALSE)</f>
        <v>DE1</v>
      </c>
      <c r="E53" s="5" t="str">
        <f>VLOOKUP(E20,Index!$A:$F,6,FALSE)</f>
        <v>MBST</v>
      </c>
      <c r="F53" s="5" t="str">
        <f>VLOOKUP(F20,Index!$A:$F,6,FALSE)</f>
        <v>CI90C</v>
      </c>
      <c r="G53" s="5" t="str">
        <f>VLOOKUP(G20,Index!$A:$F,6,FALSE)</f>
        <v>B57</v>
      </c>
      <c r="H53" s="5" t="str">
        <f>VLOOKUP(H20,Index!$A:$F,6,FALSE)</f>
        <v>CR1HT</v>
      </c>
      <c r="I53" s="5" t="str">
        <f>VLOOKUP(I20,Index!$A:$F,6,FALSE)</f>
        <v>CI31A</v>
      </c>
      <c r="J53" s="5" t="str">
        <f>VLOOKUP(J20,Index!$A:$F,6,FALSE)</f>
        <v>B73</v>
      </c>
      <c r="K53" s="5" t="str">
        <f>VLOOKUP(K20,Index!$A:$F,6,FALSE)</f>
        <v>PHV63</v>
      </c>
      <c r="L53" s="5" t="str">
        <f>VLOOKUP(L20,Index!$A:$F,6,FALSE)</f>
        <v>B73</v>
      </c>
      <c r="M53" s="5" t="str">
        <f>VLOOKUP(M20,Index!$A:$F,6,FALSE)</f>
        <v>B73</v>
      </c>
      <c r="N53" s="5" t="str">
        <f>VLOOKUP(N20,Index!$A:$F,6,FALSE)</f>
        <v>Il14H</v>
      </c>
      <c r="O53" s="5" t="str">
        <f>VLOOKUP(O20,Index!$A:$F,6,FALSE)</f>
        <v>B73</v>
      </c>
      <c r="P53" s="5" t="str">
        <f>VLOOKUP(P20,Index!$A:$F,6,FALSE)</f>
        <v>BO9</v>
      </c>
      <c r="Q53" s="5" t="str">
        <f>VLOOKUP(Q20,Index!$A:$F,6,FALSE)</f>
        <v>B79</v>
      </c>
      <c r="R53" s="5" t="str">
        <f>VLOOKUP(R20,Index!$A:$F,6,FALSE)</f>
        <v>LH51</v>
      </c>
      <c r="S53" s="5" t="str">
        <f>VLOOKUP(S20,Index!$A:$F,6,FALSE)</f>
        <v>LH85</v>
      </c>
      <c r="T53" s="4" t="str">
        <f>VLOOKUP(T20,Index!$A:$F,6,FALSE)</f>
        <v>CML52</v>
      </c>
      <c r="U53" s="4" t="str">
        <f>VLOOKUP(U20,Index!$A:$F,6,FALSE)</f>
        <v>L317</v>
      </c>
      <c r="V53" s="4" t="str">
        <f>VLOOKUP(V20,Index!$A:$F,6,FALSE)</f>
        <v>CML10</v>
      </c>
      <c r="W53" s="4" t="str">
        <f>VLOOKUP(W20,Index!$A:$F,6,FALSE)</f>
        <v>Ky226</v>
      </c>
      <c r="X53" s="4" t="str">
        <f>VLOOKUP(X20,Index!$A:$F,6,FALSE)</f>
        <v>F2834T</v>
      </c>
      <c r="Y53" s="4" t="str">
        <f>VLOOKUP(Y20,Index!$A:$F,6,FALSE)</f>
        <v>A641</v>
      </c>
      <c r="Z53" s="4" t="str">
        <f>VLOOKUP(Z20,Index!$A:$F,6,FALSE)</f>
        <v>Mo45</v>
      </c>
      <c r="AA53" s="4" t="str">
        <f>VLOOKUP(AA20,Index!$A:$F,6,FALSE)</f>
        <v>CML108</v>
      </c>
      <c r="AB53" s="4" t="str">
        <f>VLOOKUP(AB20,Index!$A:$F,6,FALSE)</f>
        <v>Mo24W</v>
      </c>
      <c r="AC53" s="4" t="str">
        <f>VLOOKUP(AC20,Index!$A:$F,6,FALSE)</f>
        <v>Tzi16</v>
      </c>
      <c r="AD53" s="4" t="str">
        <f>VLOOKUP(AD20,Index!$A:$F,6,FALSE)</f>
        <v>Tzi11</v>
      </c>
      <c r="AE53" s="4" t="str">
        <f>VLOOKUP(AE20,Index!$A:$F,6,FALSE)</f>
        <v>5707</v>
      </c>
      <c r="AF53" s="4" t="str">
        <f>VLOOKUP(AF20,Index!$A:$F,6,FALSE)</f>
        <v>4676A</v>
      </c>
      <c r="AG53" s="4" t="str">
        <f>VLOOKUP(AG20,Index!$A:$F,6,FALSE)</f>
        <v>NC294</v>
      </c>
      <c r="AH53" s="4" t="str">
        <f>VLOOKUP(AH20,Index!$A:$F,6,FALSE)</f>
        <v>OH7B</v>
      </c>
      <c r="AI53" s="4" t="str">
        <f>VLOOKUP(AI20,Index!$A:$F,6,FALSE)</f>
        <v>NC250</v>
      </c>
      <c r="AJ53" s="11" t="s">
        <v>9</v>
      </c>
    </row>
    <row r="54" spans="1:36" ht="48" x14ac:dyDescent="0.45">
      <c r="A54" s="2"/>
      <c r="B54" s="3">
        <v>13</v>
      </c>
      <c r="C54" s="11" t="s">
        <v>9</v>
      </c>
      <c r="D54" s="5" t="str">
        <f>VLOOKUP(D21,Index!$A:$F,6,FALSE)</f>
        <v>807</v>
      </c>
      <c r="E54" s="5" t="str">
        <f>VLOOKUP(E21,Index!$A:$F,6,FALSE)</f>
        <v>NC340</v>
      </c>
      <c r="F54" s="5" t="str">
        <f>VLOOKUP(F21,Index!$A:$F,6,FALSE)</f>
        <v>W182B</v>
      </c>
      <c r="G54" s="5" t="str">
        <f>VLOOKUP(G21,Index!$A:$F,6,FALSE)</f>
        <v>CML247</v>
      </c>
      <c r="H54" s="5" t="str">
        <f>VLOOKUP(H21,Index!$A:$F,6,FALSE)</f>
        <v>CI91B</v>
      </c>
      <c r="I54" s="5" t="str">
        <f>VLOOKUP(I21,Index!$A:$F,6,FALSE)</f>
        <v>CO125</v>
      </c>
      <c r="J54" s="5" t="str">
        <f>VLOOKUP(J21,Index!$A:$F,6,FALSE)</f>
        <v>IDS91</v>
      </c>
      <c r="K54" s="5" t="str">
        <f>VLOOKUP(K21,Index!$A:$F,6,FALSE)</f>
        <v>A635</v>
      </c>
      <c r="L54" s="5" t="str">
        <f>VLOOKUP(L21,Index!$A:$F,6,FALSE)</f>
        <v>LH38</v>
      </c>
      <c r="M54" s="5" t="str">
        <f>VLOOKUP(M21,Index!$A:$F,6,FALSE)</f>
        <v>Va59</v>
      </c>
      <c r="N54" s="5" t="str">
        <f>VLOOKUP(N21,Index!$A:$F,6,FALSE)</f>
        <v>NC310</v>
      </c>
      <c r="O54" s="5" t="str">
        <f>VLOOKUP(O21,Index!$A:$F,6,FALSE)</f>
        <v>H95</v>
      </c>
      <c r="P54" s="5" t="str">
        <f>VLOOKUP(P21,Index!$A:$F,6,FALSE)</f>
        <v>LH183</v>
      </c>
      <c r="Q54" s="5" t="str">
        <f>VLOOKUP(Q21,Index!$A:$F,6,FALSE)</f>
        <v>C103</v>
      </c>
      <c r="R54" s="5" t="str">
        <f>VLOOKUP(R21,Index!$A:$F,6,FALSE)</f>
        <v>CO255</v>
      </c>
      <c r="S54" s="5" t="str">
        <f>VLOOKUP(S21,Index!$A:$F,6,FALSE)</f>
        <v>6F629</v>
      </c>
      <c r="T54" s="4" t="str">
        <f>VLOOKUP(T21,Index!$A:$F,6,FALSE)</f>
        <v>B75</v>
      </c>
      <c r="U54" s="4" t="str">
        <f>VLOOKUP(U21,Index!$A:$F,6,FALSE)</f>
        <v>PHR36</v>
      </c>
      <c r="V54" s="4" t="str">
        <f>VLOOKUP(V21,Index!$A:$F,6,FALSE)</f>
        <v>L578</v>
      </c>
      <c r="W54" s="4" t="str">
        <f>VLOOKUP(W21,Index!$A:$F,6,FALSE)</f>
        <v>B73</v>
      </c>
      <c r="X54" s="4" t="str">
        <f>VLOOKUP(X21,Index!$A:$F,6,FALSE)</f>
        <v>CML287</v>
      </c>
      <c r="Y54" s="4" t="str">
        <f>VLOOKUP(Y21,Index!$A:$F,6,FALSE)</f>
        <v>Kui2021</v>
      </c>
      <c r="Z54" s="4" t="str">
        <f>VLOOKUP(Z21,Index!$A:$F,6,FALSE)</f>
        <v>CML92</v>
      </c>
      <c r="AA54" s="4" t="str">
        <f>VLOOKUP(AA21,Index!$A:$F,6,FALSE)</f>
        <v>CI.7</v>
      </c>
      <c r="AB54" s="4" t="str">
        <f>VLOOKUP(AB21,Index!$A:$F,6,FALSE)</f>
        <v>NC33</v>
      </c>
      <c r="AC54" s="4" t="str">
        <f>VLOOKUP(AC21,Index!$A:$F,6,FALSE)</f>
        <v>A6</v>
      </c>
      <c r="AD54" s="4" t="str">
        <f>VLOOKUP(AD21,Index!$A:$F,6,FALSE)</f>
        <v>CML331</v>
      </c>
      <c r="AE54" s="4" t="str">
        <f>VLOOKUP(AE21,Index!$A:$F,6,FALSE)</f>
        <v>A441-5</v>
      </c>
      <c r="AF54" s="4" t="str">
        <f>VLOOKUP(AF21,Index!$A:$F,6,FALSE)</f>
        <v>CML261</v>
      </c>
      <c r="AG54" s="4" t="str">
        <f>VLOOKUP(AG21,Index!$A:$F,6,FALSE)</f>
        <v>CML157Q</v>
      </c>
      <c r="AH54" s="4" t="str">
        <f>VLOOKUP(AH21,Index!$A:$F,6,FALSE)</f>
        <v>38-11</v>
      </c>
      <c r="AI54" s="4" t="str">
        <f>VLOOKUP(AI21,Index!$A:$F,6,FALSE)</f>
        <v>Tzi18</v>
      </c>
      <c r="AJ54" s="11" t="s">
        <v>9</v>
      </c>
    </row>
    <row r="55" spans="1:36" ht="232.5" x14ac:dyDescent="0.45">
      <c r="A55" s="2"/>
      <c r="B55" s="3">
        <v>14</v>
      </c>
      <c r="C55" s="11" t="s">
        <v>9</v>
      </c>
      <c r="D55" s="5" t="str">
        <f>VLOOKUP(D22,Index!$A:$F,6,FALSE)</f>
        <v>[white variegated (iso. From bm4 Ac3252) (B73-1)]</v>
      </c>
      <c r="E55" s="5" t="str">
        <f>VLOOKUP(E22,Index!$A:$F,6,FALSE)</f>
        <v>2MA22</v>
      </c>
      <c r="F55" s="5" t="str">
        <f>VLOOKUP(F22,Index!$A:$F,6,FALSE)</f>
        <v>MDF-13D</v>
      </c>
      <c r="G55" s="5" t="str">
        <f>VLOOKUP(G22,Index!$A:$F,6,FALSE)</f>
        <v>B64</v>
      </c>
      <c r="H55" s="5" t="str">
        <f>VLOOKUP(H22,Index!$A:$F,6,FALSE)</f>
        <v>NC296</v>
      </c>
      <c r="I55" s="5" t="str">
        <f>VLOOKUP(I22,Index!$A:$F,6,FALSE)</f>
        <v>VA102</v>
      </c>
      <c r="J55" s="5" t="str">
        <f>VLOOKUP(J22,Index!$A:$F,6,FALSE)</f>
        <v>NS501</v>
      </c>
      <c r="K55" s="5" t="str">
        <f>VLOOKUP(K22,Index!$A:$F,6,FALSE)</f>
        <v>CM105</v>
      </c>
      <c r="L55" s="5" t="str">
        <f>VLOOKUP(L22,Index!$A:$F,6,FALSE)</f>
        <v>207</v>
      </c>
      <c r="M55" s="5" t="str">
        <f>VLOOKUP(M22,Index!$A:$F,6,FALSE)</f>
        <v>Oh40B</v>
      </c>
      <c r="N55" s="5" t="str">
        <f>VLOOKUP(N22,Index!$A:$F,6,FALSE)</f>
        <v>78004</v>
      </c>
      <c r="O55" s="5" t="str">
        <f>VLOOKUP(O22,Index!$A:$F,6,FALSE)</f>
        <v>A634</v>
      </c>
      <c r="P55" s="5" t="str">
        <f>VLOOKUP(P22,Index!$A:$F,6,FALSE)</f>
        <v>AQA3</v>
      </c>
      <c r="Q55" s="5" t="str">
        <f>VLOOKUP(Q22,Index!$A:$F,6,FALSE)</f>
        <v>MS1334</v>
      </c>
      <c r="R55" s="5" t="str">
        <f>VLOOKUP(R22,Index!$A:$F,6,FALSE)</f>
        <v>B104</v>
      </c>
      <c r="S55" s="5" t="str">
        <f>VLOOKUP(S22,Index!$A:$F,6,FALSE)</f>
        <v>NC314</v>
      </c>
      <c r="T55" s="4" t="str">
        <f>VLOOKUP(T22,Index!$A:$F,6,FALSE)</f>
        <v>B73</v>
      </c>
      <c r="U55" s="4" t="str">
        <f>VLOOKUP(U22,Index!$A:$F,6,FALSE)</f>
        <v>Pa875</v>
      </c>
      <c r="V55" s="4" t="str">
        <f>VLOOKUP(V22,Index!$A:$F,6,FALSE)</f>
        <v>B84</v>
      </c>
      <c r="W55" s="4" t="str">
        <f>VLOOKUP(W22,Index!$A:$F,6,FALSE)</f>
        <v>Oh43E</v>
      </c>
      <c r="X55" s="4" t="str">
        <f>VLOOKUP(X22,Index!$A:$F,6,FALSE)</f>
        <v>ICI 740</v>
      </c>
      <c r="Y55" s="4" t="str">
        <f>VLOOKUP(Y22,Index!$A:$F,6,FALSE)</f>
        <v>FBLA</v>
      </c>
      <c r="Z55" s="4" t="str">
        <f>VLOOKUP(Z22,Index!$A:$F,6,FALSE)</f>
        <v>Tzi9</v>
      </c>
      <c r="AA55" s="4" t="str">
        <f>VLOOKUP(AA22,Index!$A:$F,6,FALSE)</f>
        <v>B73</v>
      </c>
      <c r="AB55" s="4" t="str">
        <f>VLOOKUP(AB22,Index!$A:$F,6,FALSE)</f>
        <v>Tx303</v>
      </c>
      <c r="AC55" s="4" t="str">
        <f>VLOOKUP(AC22,Index!$A:$F,6,FALSE)</f>
        <v>4226</v>
      </c>
      <c r="AD55" s="4" t="str">
        <f>VLOOKUP(AD22,Index!$A:$F,6,FALSE)</f>
        <v>B73</v>
      </c>
      <c r="AE55" s="4" t="str">
        <f>VLOOKUP(AE22,Index!$A:$F,6,FALSE)</f>
        <v>Sg18</v>
      </c>
      <c r="AF55" s="4" t="str">
        <f>VLOOKUP(AF22,Index!$A:$F,6,FALSE)</f>
        <v>R109B</v>
      </c>
      <c r="AG55" s="4" t="str">
        <f>VLOOKUP(AG22,Index!$A:$F,6,FALSE)</f>
        <v>Tx601</v>
      </c>
      <c r="AH55" s="4" t="str">
        <f>VLOOKUP(AH22,Index!$A:$F,6,FALSE)</f>
        <v>NC318</v>
      </c>
      <c r="AI55" s="4" t="str">
        <f>VLOOKUP(AI22,Index!$A:$F,6,FALSE)</f>
        <v>CML321</v>
      </c>
      <c r="AJ55" s="11" t="s">
        <v>9</v>
      </c>
    </row>
    <row r="56" spans="1:36" ht="53.25" x14ac:dyDescent="0.45">
      <c r="A56" s="2"/>
      <c r="B56" s="3">
        <v>15</v>
      </c>
      <c r="C56" s="11" t="s">
        <v>9</v>
      </c>
      <c r="D56" s="5" t="str">
        <f>VLOOKUP(D23,Index!$A:$F,6,FALSE)</f>
        <v>KUI44</v>
      </c>
      <c r="E56" s="5" t="str">
        <f>VLOOKUP(E23,Index!$A:$F,6,FALSE)</f>
        <v>N192</v>
      </c>
      <c r="F56" s="5" t="str">
        <f>VLOOKUP(F23,Index!$A:$F,6,FALSE)</f>
        <v>H105W</v>
      </c>
      <c r="G56" s="5" t="str">
        <f>VLOOKUP(G23,Index!$A:$F,6,FALSE)</f>
        <v>PHG35</v>
      </c>
      <c r="H56" s="5" t="str">
        <f>VLOOKUP(H23,Index!$A:$F,6,FALSE)</f>
        <v>Il677a</v>
      </c>
      <c r="I56" s="5" t="str">
        <f>VLOOKUP(I23,Index!$A:$F,6,FALSE)</f>
        <v>A659</v>
      </c>
      <c r="J56" s="5" t="str">
        <f>VLOOKUP(J23,Index!$A:$F,6,FALSE)</f>
        <v>B73</v>
      </c>
      <c r="K56" s="5" t="str">
        <f>VLOOKUP(K23,Index!$A:$F,6,FALSE)</f>
        <v>Ia5125</v>
      </c>
      <c r="L56" s="5" t="str">
        <f>VLOOKUP(L23,Index!$A:$F,6,FALSE)</f>
        <v>CML38</v>
      </c>
      <c r="M56" s="5" t="str">
        <f>VLOOKUP(M23,Index!$A:$F,6,FALSE)</f>
        <v>A679</v>
      </c>
      <c r="N56" s="5" t="str">
        <f>VLOOKUP(N23,Index!$A:$F,6,FALSE)</f>
        <v>Oh43</v>
      </c>
      <c r="O56" s="5" t="str">
        <f>VLOOKUP(O23,Index!$A:$F,6,FALSE)</f>
        <v>NC264</v>
      </c>
      <c r="P56" s="5" t="str">
        <f>VLOOKUP(P23,Index!$A:$F,6,FALSE)</f>
        <v>PHG71</v>
      </c>
      <c r="Q56" s="5" t="str">
        <f>VLOOKUP(Q23,Index!$A:$F,6,FALSE)</f>
        <v>K55</v>
      </c>
      <c r="R56" s="5" t="str">
        <f>VLOOKUP(R23,Index!$A:$F,6,FALSE)</f>
        <v>N6</v>
      </c>
      <c r="S56" s="5" t="str">
        <f>VLOOKUP(S23,Index!$A:$F,6,FALSE)</f>
        <v>764</v>
      </c>
      <c r="T56" s="4" t="str">
        <f>VLOOKUP(T23,Index!$A:$F,6,FALSE)</f>
        <v>POP-N-EAT</v>
      </c>
      <c r="U56" s="4" t="str">
        <f>VLOOKUP(U23,Index!$A:$F,6,FALSE)</f>
        <v>HBA1</v>
      </c>
      <c r="V56" s="4" t="str">
        <f>VLOOKUP(V23,Index!$A:$F,6,FALSE)</f>
        <v>B73</v>
      </c>
      <c r="W56" s="4" t="str">
        <f>VLOOKUP(W23,Index!$A:$F,6,FALSE)</f>
        <v>B73</v>
      </c>
      <c r="X56" s="4" t="str">
        <f>VLOOKUP(X23,Index!$A:$F,6,FALSE)</f>
        <v>B73</v>
      </c>
      <c r="Y56" s="4" t="str">
        <f>VLOOKUP(Y23,Index!$A:$F,6,FALSE)</f>
        <v>Hy</v>
      </c>
      <c r="Z56" s="4" t="str">
        <f>VLOOKUP(Z23,Index!$A:$F,6,FALSE)</f>
        <v>B109</v>
      </c>
      <c r="AA56" s="4" t="str">
        <f>VLOOKUP(AA23,Index!$A:$F,6,FALSE)</f>
        <v>E2558W</v>
      </c>
      <c r="AB56" s="4" t="str">
        <f>VLOOKUP(AB23,Index!$A:$F,6,FALSE)</f>
        <v>PHH93</v>
      </c>
      <c r="AC56" s="4" t="str">
        <f>VLOOKUP(AC23,Index!$A:$F,6,FALSE)</f>
        <v>FR19</v>
      </c>
      <c r="AD56" s="4" t="str">
        <f>VLOOKUP(AD23,Index!$A:$F,6,FALSE)</f>
        <v>LP1 NR HT</v>
      </c>
      <c r="AE56" s="4" t="str">
        <f>VLOOKUP(AE23,Index!$A:$F,6,FALSE)</f>
        <v>NC336</v>
      </c>
      <c r="AF56" s="4" t="str">
        <f>VLOOKUP(AF23,Index!$A:$F,6,FALSE)</f>
        <v>NQ508</v>
      </c>
      <c r="AG56" s="4" t="str">
        <f>VLOOKUP(AG23,Index!$A:$F,6,FALSE)</f>
        <v>CI64</v>
      </c>
      <c r="AH56" s="4" t="str">
        <f>VLOOKUP(AH23,Index!$A:$F,6,FALSE)</f>
        <v>PHWG5</v>
      </c>
      <c r="AI56" s="4" t="str">
        <f>VLOOKUP(AI23,Index!$A:$F,6,FALSE)</f>
        <v>S8326</v>
      </c>
      <c r="AJ56" s="11" t="s">
        <v>9</v>
      </c>
    </row>
    <row r="57" spans="1:36" ht="40.5" x14ac:dyDescent="0.45">
      <c r="A57" s="2"/>
      <c r="B57" s="3">
        <v>16</v>
      </c>
      <c r="C57" s="11" t="s">
        <v>9</v>
      </c>
      <c r="D57" s="5" t="str">
        <f>VLOOKUP(D24,Index!$A:$F,6,FALSE)</f>
        <v>LH145</v>
      </c>
      <c r="E57" s="5" t="str">
        <f>VLOOKUP(E24,Index!$A:$F,6,FALSE)</f>
        <v>Va22</v>
      </c>
      <c r="F57" s="5" t="str">
        <f>VLOOKUP(F24,Index!$A:$F,6,FALSE)</f>
        <v>SD44</v>
      </c>
      <c r="G57" s="5" t="str">
        <f>VLOOKUP(G24,Index!$A:$F,6,FALSE)</f>
        <v>B73</v>
      </c>
      <c r="H57" s="5" t="str">
        <f>VLOOKUP(H24,Index!$A:$F,6,FALSE)</f>
        <v>PHJ40</v>
      </c>
      <c r="I57" s="5" t="str">
        <f>VLOOKUP(I24,Index!$A:$F,6,FALSE)</f>
        <v>N28Ht</v>
      </c>
      <c r="J57" s="5" t="str">
        <f>VLOOKUP(J24,Index!$A:$F,6,FALSE)</f>
        <v>793</v>
      </c>
      <c r="K57" s="5" t="str">
        <f>VLOOKUP(K24,Index!$A:$F,6,FALSE)</f>
        <v>CMV3</v>
      </c>
      <c r="L57" s="5" t="str">
        <f>VLOOKUP(L24,Index!$A:$F,6,FALSE)</f>
        <v>LP5</v>
      </c>
      <c r="M57" s="5" t="str">
        <f>VLOOKUP(M24,Index!$A:$F,6,FALSE)</f>
        <v>CML323</v>
      </c>
      <c r="N57" s="5" t="str">
        <f>VLOOKUP(N24,Index!$A:$F,6,FALSE)</f>
        <v>PHG72</v>
      </c>
      <c r="O57" s="5" t="str">
        <f>VLOOKUP(O24,Index!$A:$F,6,FALSE)</f>
        <v>3IIH6</v>
      </c>
      <c r="P57" s="5" t="str">
        <f>VLOOKUP(P24,Index!$A:$F,6,FALSE)</f>
        <v>B73</v>
      </c>
      <c r="Q57" s="5" t="str">
        <f>VLOOKUP(Q24,Index!$A:$F,6,FALSE)</f>
        <v>NC362</v>
      </c>
      <c r="R57" s="5" t="str">
        <f>VLOOKUP(R24,Index!$A:$F,6,FALSE)</f>
        <v>ZS365</v>
      </c>
      <c r="S57" s="5" t="str">
        <f>VLOOKUP(S24,Index!$A:$F,6,FALSE)</f>
        <v>PHG50</v>
      </c>
      <c r="T57" s="4" t="str">
        <f>VLOOKUP(T24,Index!$A:$F,6,FALSE)</f>
        <v>DE811</v>
      </c>
      <c r="U57" s="4" t="str">
        <f>VLOOKUP(U24,Index!$A:$F,6,FALSE)</f>
        <v>R177</v>
      </c>
      <c r="V57" s="4" t="str">
        <f>VLOOKUP(V24,Index!$A:$F,6,FALSE)</f>
        <v>R4</v>
      </c>
      <c r="W57" s="4" t="str">
        <f>VLOOKUP(W24,Index!$A:$F,6,FALSE)</f>
        <v>N7A</v>
      </c>
      <c r="X57" s="4" t="str">
        <f>VLOOKUP(X24,Index!$A:$F,6,FALSE)</f>
        <v>B68</v>
      </c>
      <c r="Y57" s="4" t="str">
        <f>VLOOKUP(Y24,Index!$A:$F,6,FALSE)</f>
        <v>B73</v>
      </c>
      <c r="Z57" s="4" t="str">
        <f>VLOOKUP(Z24,Index!$A:$F,6,FALSE)</f>
        <v>T232</v>
      </c>
      <c r="AA57" s="4" t="str">
        <f>VLOOKUP(AA24,Index!$A:$F,6,FALSE)</f>
        <v>PHW43</v>
      </c>
      <c r="AB57" s="4" t="str">
        <f>VLOOKUP(AB24,Index!$A:$F,6,FALSE)</f>
        <v>HP301</v>
      </c>
      <c r="AC57" s="4" t="str">
        <f>VLOOKUP(AC24,Index!$A:$F,6,FALSE)</f>
        <v>MO1W</v>
      </c>
      <c r="AD57" s="4" t="str">
        <f>VLOOKUP(AD24,Index!$A:$F,6,FALSE)</f>
        <v>CML322</v>
      </c>
      <c r="AE57" s="4" t="str">
        <f>VLOOKUP(AE24,Index!$A:$F,6,FALSE)</f>
        <v>LH39</v>
      </c>
      <c r="AF57" s="4" t="str">
        <f>VLOOKUP(AF24,Index!$A:$F,6,FALSE)</f>
        <v>B73</v>
      </c>
      <c r="AG57" s="4" t="str">
        <f>VLOOKUP(AG24,Index!$A:$F,6,FALSE)</f>
        <v>B76</v>
      </c>
      <c r="AH57" s="4" t="str">
        <f>VLOOKUP(AH24,Index!$A:$F,6,FALSE)</f>
        <v>B2</v>
      </c>
      <c r="AI57" s="4" t="str">
        <f>VLOOKUP(AI24,Index!$A:$F,6,FALSE)</f>
        <v>B52</v>
      </c>
      <c r="AJ57" s="11" t="s">
        <v>9</v>
      </c>
    </row>
    <row r="58" spans="1:36" ht="232.5" x14ac:dyDescent="0.45">
      <c r="A58" s="2"/>
      <c r="B58" s="3">
        <v>17</v>
      </c>
      <c r="C58" s="11" t="s">
        <v>9</v>
      </c>
      <c r="D58" s="5" t="str">
        <f>VLOOKUP(D25,Index!$A:$F,6,FALSE)</f>
        <v>Pa762</v>
      </c>
      <c r="E58" s="5" t="str">
        <f>VLOOKUP(E25,Index!$A:$F,6,FALSE)</f>
        <v>A619</v>
      </c>
      <c r="F58" s="5" t="str">
        <f>VLOOKUP(F25,Index!$A:$F,6,FALSE)</f>
        <v>B73</v>
      </c>
      <c r="G58" s="5" t="str">
        <f>VLOOKUP(G25,Index!$A:$F,6,FALSE)</f>
        <v>CML238</v>
      </c>
      <c r="H58" s="5" t="str">
        <f>VLOOKUP(H25,Index!$A:$F,6,FALSE)</f>
        <v>K148</v>
      </c>
      <c r="I58" s="5" t="str">
        <f>VLOOKUP(I25,Index!$A:$F,6,FALSE)</f>
        <v>NC238</v>
      </c>
      <c r="J58" s="5" t="str">
        <f>VLOOKUP(J25,Index!$A:$F,6,FALSE)</f>
        <v>PHK76</v>
      </c>
      <c r="K58" s="5" t="str">
        <f>VLOOKUP(K25,Index!$A:$F,6,FALSE)</f>
        <v>B73</v>
      </c>
      <c r="L58" s="5" t="str">
        <f>VLOOKUP(L25,Index!$A:$F,6,FALSE)</f>
        <v>792</v>
      </c>
      <c r="M58" s="5" t="str">
        <f>VLOOKUP(M25,Index!$A:$F,6,FALSE)</f>
        <v>NC236</v>
      </c>
      <c r="N58" s="5" t="str">
        <f>VLOOKUP(N25,Index!$A:$F,6,FALSE)</f>
        <v>LH93</v>
      </c>
      <c r="O58" s="5" t="str">
        <f>VLOOKUP(O25,Index!$A:$F,6,FALSE)</f>
        <v>Q381</v>
      </c>
      <c r="P58" s="5" t="str">
        <f>VLOOKUP(P25,Index!$A:$F,6,FALSE)</f>
        <v>Va99</v>
      </c>
      <c r="Q58" s="5" t="str">
        <f>VLOOKUP(Q25,Index!$A:$F,6,FALSE)</f>
        <v>A554</v>
      </c>
      <c r="R58" s="5" t="str">
        <f>VLOOKUP(R25,Index!$A:$F,6,FALSE)</f>
        <v>CH9</v>
      </c>
      <c r="S58" s="5" t="str">
        <f>VLOOKUP(S25,Index!$A:$F,6,FALSE)</f>
        <v>ND246</v>
      </c>
      <c r="T58" s="4" t="str">
        <f>VLOOKUP(T25,Index!$A:$F,6,FALSE)</f>
        <v>SA24</v>
      </c>
      <c r="U58" s="4" t="str">
        <f>VLOOKUP(U25,Index!$A:$F,6,FALSE)</f>
        <v>B77</v>
      </c>
      <c r="V58" s="4" t="str">
        <f>VLOOKUP(V25,Index!$A:$F,6,FALSE)</f>
        <v>LH74</v>
      </c>
      <c r="W58" s="4" t="str">
        <f>VLOOKUP(W25,Index!$A:$F,6,FALSE)</f>
        <v>M162W</v>
      </c>
      <c r="X58" s="4" t="str">
        <f>VLOOKUP(X25,Index!$A:$F,6,FALSE)</f>
        <v>H91</v>
      </c>
      <c r="Y58" s="4" t="str">
        <f>VLOOKUP(Y25,Index!$A:$F,6,FALSE)</f>
        <v>MoG</v>
      </c>
      <c r="Z58" s="4" t="str">
        <f>VLOOKUP(Z25,Index!$A:$F,6,FALSE)</f>
        <v>B73</v>
      </c>
      <c r="AA58" s="4" t="str">
        <f>VLOOKUP(AA25,Index!$A:$F,6,FALSE)</f>
        <v>Va26</v>
      </c>
      <c r="AB58" s="4" t="str">
        <f>VLOOKUP(AB25,Index!$A:$F,6,FALSE)</f>
        <v>A682</v>
      </c>
      <c r="AC58" s="4" t="str">
        <f>VLOOKUP(AC25,Index!$A:$F,6,FALSE)</f>
        <v>Mo17</v>
      </c>
      <c r="AD58" s="4" t="str">
        <f>VLOOKUP(AD25,Index!$A:$F,6,FALSE)</f>
        <v>NC298</v>
      </c>
      <c r="AE58" s="4" t="str">
        <f>VLOOKUP(AE25,Index!$A:$F,6,FALSE)</f>
        <v>[white variegated (iso. From bm4 Ac3252) (B73-1)]</v>
      </c>
      <c r="AF58" s="4" t="str">
        <f>VLOOKUP(AF25,Index!$A:$F,6,FALSE)</f>
        <v>LH146Ht</v>
      </c>
      <c r="AG58" s="4" t="str">
        <f>VLOOKUP(AG25,Index!$A:$F,6,FALSE)</f>
        <v>NC366</v>
      </c>
      <c r="AH58" s="4" t="str">
        <f>VLOOKUP(AH25,Index!$A:$F,6,FALSE)</f>
        <v>B73</v>
      </c>
      <c r="AI58" s="4" t="str">
        <f>VLOOKUP(AI25,Index!$A:$F,6,FALSE)</f>
        <v>CH701-30</v>
      </c>
      <c r="AJ58" s="11" t="s">
        <v>9</v>
      </c>
    </row>
    <row r="59" spans="1:36" ht="84.4" x14ac:dyDescent="0.45">
      <c r="A59" s="2"/>
      <c r="B59" s="3">
        <v>18</v>
      </c>
      <c r="C59" s="11" t="s">
        <v>9</v>
      </c>
      <c r="D59" s="5" t="str">
        <f>VLOOKUP(D26,Index!$A:$F,6,FALSE)</f>
        <v>B73</v>
      </c>
      <c r="E59" s="5" t="str">
        <f>VLOOKUP(E26,Index!$A:$F,6,FALSE)</f>
        <v>Oh43E</v>
      </c>
      <c r="F59" s="5" t="str">
        <f>VLOOKUP(F26,Index!$A:$F,6,FALSE)</f>
        <v>W64A</v>
      </c>
      <c r="G59" s="5" t="str">
        <f>VLOOKUP(G26,Index!$A:$F,6,FALSE)</f>
        <v>B73</v>
      </c>
      <c r="H59" s="5" t="str">
        <f>VLOOKUP(H26,Index!$A:$F,6,FALSE)</f>
        <v>DJ7</v>
      </c>
      <c r="I59" s="5" t="str">
        <f>VLOOKUP(I26,Index!$A:$F,6,FALSE)</f>
        <v>PHH93</v>
      </c>
      <c r="J59" s="5" t="str">
        <f>VLOOKUP(J26,Index!$A:$F,6,FALSE)</f>
        <v>CS405</v>
      </c>
      <c r="K59" s="5" t="str">
        <f>VLOOKUP(K26,Index!$A:$F,6,FALSE)</f>
        <v>Seagull Seventeen</v>
      </c>
      <c r="L59" s="5" t="str">
        <f>VLOOKUP(L26,Index!$A:$F,6,FALSE)</f>
        <v>NS701</v>
      </c>
      <c r="M59" s="5" t="str">
        <f>VLOOKUP(M26,Index!$A:$F,6,FALSE)</f>
        <v>MoG</v>
      </c>
      <c r="N59" s="5" t="str">
        <f>VLOOKUP(N26,Index!$A:$F,6,FALSE)</f>
        <v>B37</v>
      </c>
      <c r="O59" s="5" t="str">
        <f>VLOOKUP(O26,Index!$A:$F,6,FALSE)</f>
        <v>Va17</v>
      </c>
      <c r="P59" s="5" t="str">
        <f>VLOOKUP(P26,Index!$A:$F,6,FALSE)</f>
        <v>Va14</v>
      </c>
      <c r="Q59" s="5" t="str">
        <f>VLOOKUP(Q26,Index!$A:$F,6,FALSE)</f>
        <v>H8431</v>
      </c>
      <c r="R59" s="5" t="str">
        <f>VLOOKUP(R26,Index!$A:$F,6,FALSE)</f>
        <v>NC232</v>
      </c>
      <c r="S59" s="5" t="str">
        <f>VLOOKUP(S26,Index!$A:$F,6,FALSE)</f>
        <v>11430</v>
      </c>
      <c r="T59" s="4" t="str">
        <f>VLOOKUP(T26,Index!$A:$F,6,FALSE)</f>
        <v>NC326</v>
      </c>
      <c r="U59" s="4" t="str">
        <f>VLOOKUP(U26,Index!$A:$F,6,FALSE)</f>
        <v>I137TN</v>
      </c>
      <c r="V59" s="4" t="str">
        <f>VLOOKUP(V26,Index!$A:$F,6,FALSE)</f>
        <v>PHG83</v>
      </c>
      <c r="W59" s="4" t="str">
        <f>VLOOKUP(W26,Index!$A:$F,6,FALSE)</f>
        <v>CML264</v>
      </c>
      <c r="X59" s="4" t="str">
        <f>VLOOKUP(X26,Index!$A:$F,6,FALSE)</f>
        <v>KY228</v>
      </c>
      <c r="Y59" s="4" t="str">
        <f>VLOOKUP(Y26,Index!$A:$F,6,FALSE)</f>
        <v>NC368</v>
      </c>
      <c r="Z59" s="4" t="str">
        <f>VLOOKUP(Z26,Index!$A:$F,6,FALSE)</f>
        <v>Tzi10</v>
      </c>
      <c r="AA59" s="4" t="str">
        <f>VLOOKUP(AA26,Index!$A:$F,6,FALSE)</f>
        <v>B73</v>
      </c>
      <c r="AB59" s="4" t="str">
        <f>VLOOKUP(AB26,Index!$A:$F,6,FALSE)</f>
        <v>NC328</v>
      </c>
      <c r="AC59" s="4" t="str">
        <f>VLOOKUP(AC26,Index!$A:$F,6,FALSE)</f>
        <v>OQ403</v>
      </c>
      <c r="AD59" s="4" t="str">
        <f>VLOOKUP(AD26,Index!$A:$F,6,FALSE)</f>
        <v>E8501</v>
      </c>
      <c r="AE59" s="4" t="str">
        <f>VLOOKUP(AE26,Index!$A:$F,6,FALSE)</f>
        <v>Black Jewell 85</v>
      </c>
      <c r="AF59" s="4" t="str">
        <f>VLOOKUP(AF26,Index!$A:$F,6,FALSE)</f>
        <v>NC344</v>
      </c>
      <c r="AG59" s="4" t="str">
        <f>VLOOKUP(AG26,Index!$A:$F,6,FALSE)</f>
        <v>B73</v>
      </c>
      <c r="AH59" s="4" t="str">
        <f>VLOOKUP(AH26,Index!$A:$F,6,FALSE)</f>
        <v>Ky21</v>
      </c>
      <c r="AI59" s="4" t="str">
        <f>VLOOKUP(AI26,Index!$A:$F,6,FALSE)</f>
        <v>NC234</v>
      </c>
      <c r="AJ59" s="11" t="s">
        <v>9</v>
      </c>
    </row>
    <row r="60" spans="1:36" ht="53.25" x14ac:dyDescent="0.45">
      <c r="A60" s="2"/>
      <c r="B60" s="3">
        <v>19</v>
      </c>
      <c r="C60" s="11" t="s">
        <v>9</v>
      </c>
      <c r="D60" s="5" t="str">
        <f>VLOOKUP(D27,Index!$A:$F,6,FALSE)</f>
        <v>Mo18W</v>
      </c>
      <c r="E60" s="5" t="str">
        <f>VLOOKUP(E27,Index!$A:$F,6,FALSE)</f>
        <v>I137TN</v>
      </c>
      <c r="F60" s="5" t="str">
        <f>VLOOKUP(F27,Index!$A:$F,6,FALSE)</f>
        <v>PHG84</v>
      </c>
      <c r="G60" s="5" t="str">
        <f>VLOOKUP(G27,Index!$A:$F,6,FALSE)</f>
        <v>A682</v>
      </c>
      <c r="H60" s="5" t="str">
        <f>VLOOKUP(H27,Index!$A:$F,6,FALSE)</f>
        <v>B164</v>
      </c>
      <c r="I60" s="5" t="str">
        <f>VLOOKUP(I27,Index!$A:$F,6,FALSE)</f>
        <v>R4</v>
      </c>
      <c r="J60" s="5" t="str">
        <f>VLOOKUP(J27,Index!$A:$F,6,FALSE)</f>
        <v>H49</v>
      </c>
      <c r="K60" s="5" t="str">
        <f>VLOOKUP(K27,Index!$A:$F,6,FALSE)</f>
        <v>CI28A</v>
      </c>
      <c r="L60" s="5" t="str">
        <f>VLOOKUP(L27,Index!$A:$F,6,FALSE)</f>
        <v>78551S</v>
      </c>
      <c r="M60" s="5" t="str">
        <f>VLOOKUP(M27,Index!$A:$F,6,FALSE)</f>
        <v>E2558W</v>
      </c>
      <c r="N60" s="5" t="str">
        <f>VLOOKUP(N27,Index!$A:$F,6,FALSE)</f>
        <v>NC222</v>
      </c>
      <c r="O60" s="5" t="str">
        <f>VLOOKUP(O27,Index!$A:$F,6,FALSE)</f>
        <v>Ky21</v>
      </c>
      <c r="P60" s="5" t="str">
        <f>VLOOKUP(P27,Index!$A:$F,6,FALSE)</f>
        <v>NC336</v>
      </c>
      <c r="Q60" s="5" t="str">
        <f>VLOOKUP(Q27,Index!$A:$F,6,FALSE)</f>
        <v>POP-N-EAT</v>
      </c>
      <c r="R60" s="5" t="str">
        <f>VLOOKUP(R27,Index!$A:$F,6,FALSE)</f>
        <v>NC348</v>
      </c>
      <c r="S60" s="5" t="str">
        <f>VLOOKUP(S27,Index!$A:$F,6,FALSE)</f>
        <v>PB80</v>
      </c>
      <c r="T60" s="4" t="str">
        <f>VLOOKUP(T27,Index!$A:$F,6,FALSE)</f>
        <v>NC342</v>
      </c>
      <c r="U60" s="4" t="str">
        <f>VLOOKUP(U27,Index!$A:$F,6,FALSE)</f>
        <v>A632</v>
      </c>
      <c r="V60" s="4" t="str">
        <f>VLOOKUP(V27,Index!$A:$F,6,FALSE)</f>
        <v>PHG39</v>
      </c>
      <c r="W60" s="4" t="str">
        <f>VLOOKUP(W27,Index!$A:$F,6,FALSE)</f>
        <v>MBNA</v>
      </c>
      <c r="X60" s="4" t="str">
        <f>VLOOKUP(X27,Index!$A:$F,6,FALSE)</f>
        <v>NC358</v>
      </c>
      <c r="Y60" s="4" t="str">
        <f>VLOOKUP(Y27,Index!$A:$F,6,FALSE)</f>
        <v>2FACC</v>
      </c>
      <c r="Z60" s="4" t="str">
        <f>VLOOKUP(Z27,Index!$A:$F,6,FALSE)</f>
        <v>CS405</v>
      </c>
      <c r="AA60" s="4" t="str">
        <f>VLOOKUP(AA27,Index!$A:$F,6,FALSE)</f>
        <v>LH60</v>
      </c>
      <c r="AB60" s="4" t="str">
        <f>VLOOKUP(AB27,Index!$A:$F,6,FALSE)</f>
        <v>K64</v>
      </c>
      <c r="AC60" s="4" t="str">
        <f>VLOOKUP(AC27,Index!$A:$F,6,FALSE)</f>
        <v>F118</v>
      </c>
      <c r="AD60" s="4" t="str">
        <f>VLOOKUP(AD27,Index!$A:$F,6,FALSE)</f>
        <v>NC222</v>
      </c>
      <c r="AE60" s="4" t="str">
        <f>VLOOKUP(AE27,Index!$A:$F,6,FALSE)</f>
        <v>B73</v>
      </c>
      <c r="AF60" s="4" t="str">
        <f>VLOOKUP(AF27,Index!$A:$F,6,FALSE)</f>
        <v>NS701</v>
      </c>
      <c r="AG60" s="4" t="str">
        <f>VLOOKUP(AG27,Index!$A:$F,6,FALSE)</f>
        <v>NC352</v>
      </c>
      <c r="AH60" s="4" t="str">
        <f>VLOOKUP(AH27,Index!$A:$F,6,FALSE)</f>
        <v>B37</v>
      </c>
      <c r="AI60" s="4" t="str">
        <f>VLOOKUP(AI27,Index!$A:$F,6,FALSE)</f>
        <v>PHG84</v>
      </c>
      <c r="AJ60" s="11" t="s">
        <v>9</v>
      </c>
    </row>
    <row r="61" spans="1:36" ht="42.75" x14ac:dyDescent="0.45">
      <c r="A61" s="2"/>
      <c r="B61" s="3">
        <v>20</v>
      </c>
      <c r="C61" s="11" t="s">
        <v>9</v>
      </c>
      <c r="D61" s="5" t="str">
        <f>VLOOKUP(D28,Index!$A:$F,6,FALSE)</f>
        <v>A680</v>
      </c>
      <c r="E61" s="5" t="str">
        <f>VLOOKUP(E28,Index!$A:$F,6,FALSE)</f>
        <v>B73</v>
      </c>
      <c r="F61" s="5" t="str">
        <f>VLOOKUP(F28,Index!$A:$F,6,FALSE)</f>
        <v>PHZ51</v>
      </c>
      <c r="G61" s="5" t="str">
        <f>VLOOKUP(G28,Index!$A:$F,6,FALSE)</f>
        <v>B73</v>
      </c>
      <c r="H61" s="5" t="str">
        <f>VLOOKUP(H28,Index!$A:$F,6,FALSE)</f>
        <v>B109</v>
      </c>
      <c r="I61" s="5" t="str">
        <f>VLOOKUP(I28,Index!$A:$F,6,FALSE)</f>
        <v>B76</v>
      </c>
      <c r="J61" s="5" t="str">
        <f>VLOOKUP(J28,Index!$A:$F,6,FALSE)</f>
        <v>OQ403</v>
      </c>
      <c r="K61" s="5" t="str">
        <f>VLOOKUP(K28,Index!$A:$F,6,FALSE)</f>
        <v>HBA1</v>
      </c>
      <c r="L61" s="5" t="str">
        <f>VLOOKUP(L28,Index!$A:$F,6,FALSE)</f>
        <v>NC368</v>
      </c>
      <c r="M61" s="5" t="str">
        <f>VLOOKUP(M28,Index!$A:$F,6,FALSE)</f>
        <v>LH146Ht</v>
      </c>
      <c r="N61" s="5" t="str">
        <f>VLOOKUP(N28,Index!$A:$F,6,FALSE)</f>
        <v>B14A</v>
      </c>
      <c r="O61" s="5" t="str">
        <f>VLOOKUP(O28,Index!$A:$F,6,FALSE)</f>
        <v>B10</v>
      </c>
      <c r="P61" s="5" t="str">
        <f>VLOOKUP(P28,Index!$A:$F,6,FALSE)</f>
        <v>CML332</v>
      </c>
      <c r="Q61" s="5" t="str">
        <f>VLOOKUP(Q28,Index!$A:$F,6,FALSE)</f>
        <v>M162W</v>
      </c>
      <c r="R61" s="5" t="str">
        <f>VLOOKUP(R28,Index!$A:$F,6,FALSE)</f>
        <v>CI21E</v>
      </c>
      <c r="S61" s="5" t="str">
        <f>VLOOKUP(S28,Index!$A:$F,6,FALSE)</f>
        <v>LH39</v>
      </c>
      <c r="T61" s="4" t="str">
        <f>VLOOKUP(T28,Index!$A:$F,6,FALSE)</f>
        <v>A680</v>
      </c>
      <c r="U61" s="4" t="str">
        <f>VLOOKUP(U28,Index!$A:$F,6,FALSE)</f>
        <v>B103</v>
      </c>
      <c r="V61" s="4" t="str">
        <f>VLOOKUP(V28,Index!$A:$F,6,FALSE)</f>
        <v>CML61</v>
      </c>
      <c r="W61" s="4" t="str">
        <f>VLOOKUP(W28,Index!$A:$F,6,FALSE)</f>
        <v>B164</v>
      </c>
      <c r="X61" s="4" t="str">
        <f>VLOOKUP(X28,Index!$A:$F,6,FALSE)</f>
        <v>SC213R</v>
      </c>
      <c r="Y61" s="4" t="str">
        <f>VLOOKUP(Y28,Index!$A:$F,6,FALSE)</f>
        <v>CML328</v>
      </c>
      <c r="Z61" s="4" t="str">
        <f>VLOOKUP(Z28,Index!$A:$F,6,FALSE)</f>
        <v>Wf9</v>
      </c>
      <c r="AA61" s="4" t="str">
        <f>VLOOKUP(AA28,Index!$A:$F,6,FALSE)</f>
        <v>B10</v>
      </c>
      <c r="AB61" s="4" t="str">
        <f>VLOOKUP(AB28,Index!$A:$F,6,FALSE)</f>
        <v>NC348</v>
      </c>
      <c r="AC61" s="4" t="str">
        <f>VLOOKUP(AC28,Index!$A:$F,6,FALSE)</f>
        <v>NC306</v>
      </c>
      <c r="AD61" s="4" t="str">
        <f>VLOOKUP(AD28,Index!$A:$F,6,FALSE)</f>
        <v>Mo18W</v>
      </c>
      <c r="AE61" s="4" t="str">
        <f>VLOOKUP(AE28,Index!$A:$F,6,FALSE)</f>
        <v>PB80</v>
      </c>
      <c r="AF61" s="4" t="str">
        <f>VLOOKUP(AF28,Index!$A:$F,6,FALSE)</f>
        <v>NC338</v>
      </c>
      <c r="AG61" s="4" t="str">
        <f>VLOOKUP(AG28,Index!$A:$F,6,FALSE)</f>
        <v>B73</v>
      </c>
      <c r="AH61" s="4" t="str">
        <f>VLOOKUP(AH28,Index!$A:$F,6,FALSE)</f>
        <v>PHZ51</v>
      </c>
      <c r="AI61" s="4" t="str">
        <f>VLOOKUP(AI28,Index!$A:$F,6,FALSE)</f>
        <v>H84</v>
      </c>
      <c r="AJ61" s="11" t="s">
        <v>9</v>
      </c>
    </row>
    <row r="62" spans="1:36" ht="84.4" x14ac:dyDescent="0.45">
      <c r="A62" s="2"/>
      <c r="B62" s="3">
        <v>21</v>
      </c>
      <c r="C62" s="11" t="s">
        <v>9</v>
      </c>
      <c r="D62" s="5" t="str">
        <f>VLOOKUP(D29,Index!$A:$F,6,FALSE)</f>
        <v>K64</v>
      </c>
      <c r="E62" s="5" t="str">
        <f>VLOOKUP(E29,Index!$A:$F,6,FALSE)</f>
        <v>B68</v>
      </c>
      <c r="F62" s="5" t="str">
        <f>VLOOKUP(F29,Index!$A:$F,6,FALSE)</f>
        <v>Mo46</v>
      </c>
      <c r="G62" s="5" t="str">
        <f>VLOOKUP(G29,Index!$A:$F,6,FALSE)</f>
        <v>PHW17</v>
      </c>
      <c r="H62" s="5" t="str">
        <f>VLOOKUP(H29,Index!$A:$F,6,FALSE)</f>
        <v>Va26</v>
      </c>
      <c r="I62" s="5" t="str">
        <f>VLOOKUP(I29,Index!$A:$F,6,FALSE)</f>
        <v>CML91</v>
      </c>
      <c r="J62" s="5" t="str">
        <f>VLOOKUP(J29,Index!$A:$F,6,FALSE)</f>
        <v>H91</v>
      </c>
      <c r="K62" s="5" t="str">
        <f>VLOOKUP(K29,Index!$A:$F,6,FALSE)</f>
        <v>A632</v>
      </c>
      <c r="L62" s="5" t="str">
        <f>VLOOKUP(L29,Index!$A:$F,6,FALSE)</f>
        <v>Pa875</v>
      </c>
      <c r="M62" s="5" t="str">
        <f>VLOOKUP(M29,Index!$A:$F,6,FALSE)</f>
        <v>Va85</v>
      </c>
      <c r="N62" s="5" t="str">
        <f>VLOOKUP(N29,Index!$A:$F,6,FALSE)</f>
        <v>PHWG5</v>
      </c>
      <c r="O62" s="5" t="str">
        <f>VLOOKUP(O29,Index!$A:$F,6,FALSE)</f>
        <v>SA24</v>
      </c>
      <c r="P62" s="5" t="str">
        <f>VLOOKUP(P29,Index!$A:$F,6,FALSE)</f>
        <v>CML328</v>
      </c>
      <c r="Q62" s="5" t="str">
        <f>VLOOKUP(Q29,Index!$A:$F,6,FALSE)</f>
        <v>B73</v>
      </c>
      <c r="R62" s="5" t="str">
        <f>VLOOKUP(R29,Index!$A:$F,6,FALSE)</f>
        <v>T234</v>
      </c>
      <c r="S62" s="5" t="str">
        <f>VLOOKUP(S29,Index!$A:$F,6,FALSE)</f>
        <v>FR19</v>
      </c>
      <c r="T62" s="4" t="str">
        <f>VLOOKUP(T29,Index!$A:$F,6,FALSE)</f>
        <v>Pa880</v>
      </c>
      <c r="U62" s="4" t="str">
        <f>VLOOKUP(U29,Index!$A:$F,6,FALSE)</f>
        <v>CQ702RC</v>
      </c>
      <c r="V62" s="4" t="str">
        <f>VLOOKUP(V29,Index!$A:$F,6,FALSE)</f>
        <v>Va85</v>
      </c>
      <c r="W62" s="4" t="str">
        <f>VLOOKUP(W29,Index!$A:$F,6,FALSE)</f>
        <v>4722</v>
      </c>
      <c r="X62" s="4" t="str">
        <f>VLOOKUP(X29,Index!$A:$F,6,FALSE)</f>
        <v>H49</v>
      </c>
      <c r="Y62" s="4" t="str">
        <f>VLOOKUP(Y29,Index!$A:$F,6,FALSE)</f>
        <v>78371A</v>
      </c>
      <c r="Z62" s="4" t="str">
        <f>VLOOKUP(Z29,Index!$A:$F,6,FALSE)</f>
        <v>Hi27</v>
      </c>
      <c r="AA62" s="4" t="str">
        <f>VLOOKUP(AA29,Index!$A:$F,6,FALSE)</f>
        <v>Sg1533</v>
      </c>
      <c r="AB62" s="4" t="str">
        <f>VLOOKUP(AB29,Index!$A:$F,6,FALSE)</f>
        <v>CI28A</v>
      </c>
      <c r="AC62" s="4" t="str">
        <f>VLOOKUP(AC29,Index!$A:$F,6,FALSE)</f>
        <v>CR14</v>
      </c>
      <c r="AD62" s="4" t="str">
        <f>VLOOKUP(AD29,Index!$A:$F,6,FALSE)</f>
        <v>W64A</v>
      </c>
      <c r="AE62" s="4" t="str">
        <f>VLOOKUP(AE29,Index!$A:$F,6,FALSE)</f>
        <v>Ki11</v>
      </c>
      <c r="AF62" s="4" t="str">
        <f>VLOOKUP(AF29,Index!$A:$F,6,FALSE)</f>
        <v>Seagull Seventeen</v>
      </c>
      <c r="AG62" s="4" t="str">
        <f>VLOOKUP(AG29,Index!$A:$F,6,FALSE)</f>
        <v>PHW65</v>
      </c>
      <c r="AH62" s="4" t="str">
        <f>VLOOKUP(AH29,Index!$A:$F,6,FALSE)</f>
        <v>B97</v>
      </c>
      <c r="AI62" s="4" t="str">
        <f>VLOOKUP(AI29,Index!$A:$F,6,FALSE)</f>
        <v>CML154Q</v>
      </c>
      <c r="AJ62" s="11" t="s">
        <v>9</v>
      </c>
    </row>
    <row r="63" spans="1:36" ht="48" x14ac:dyDescent="0.45">
      <c r="A63" s="2"/>
      <c r="B63" s="3">
        <v>22</v>
      </c>
      <c r="C63" s="11" t="s">
        <v>9</v>
      </c>
      <c r="D63" s="5" t="str">
        <f>VLOOKUP(D30,Index!$A:$F,6,FALSE)</f>
        <v>N7A</v>
      </c>
      <c r="E63" s="5" t="str">
        <f>VLOOKUP(E30,Index!$A:$F,6,FALSE)</f>
        <v>B77</v>
      </c>
      <c r="F63" s="5" t="str">
        <f>VLOOKUP(F30,Index!$A:$F,6,FALSE)</f>
        <v>NC352</v>
      </c>
      <c r="G63" s="5" t="str">
        <f>VLOOKUP(G30,Index!$A:$F,6,FALSE)</f>
        <v>FBLA</v>
      </c>
      <c r="H63" s="5" t="str">
        <f>VLOOKUP(H30,Index!$A:$F,6,FALSE)</f>
        <v>B73</v>
      </c>
      <c r="I63" s="5" t="str">
        <f>VLOOKUP(I30,Index!$A:$F,6,FALSE)</f>
        <v>CH701-30</v>
      </c>
      <c r="J63" s="5" t="str">
        <f>VLOOKUP(J30,Index!$A:$F,6,FALSE)</f>
        <v>NC338</v>
      </c>
      <c r="K63" s="5" t="str">
        <f>VLOOKUP(K30,Index!$A:$F,6,FALSE)</f>
        <v>NC306</v>
      </c>
      <c r="L63" s="5" t="str">
        <f>VLOOKUP(L30,Index!$A:$F,6,FALSE)</f>
        <v>PHW43</v>
      </c>
      <c r="M63" s="5" t="str">
        <f>VLOOKUP(M30,Index!$A:$F,6,FALSE)</f>
        <v>CR14</v>
      </c>
      <c r="N63" s="5" t="str">
        <f>VLOOKUP(N30,Index!$A:$F,6,FALSE)</f>
        <v>NQ508</v>
      </c>
      <c r="O63" s="5" t="str">
        <f>VLOOKUP(O30,Index!$A:$F,6,FALSE)</f>
        <v>ICI 740</v>
      </c>
      <c r="P63" s="5" t="str">
        <f>VLOOKUP(P30,Index!$A:$F,6,FALSE)</f>
        <v>Hy</v>
      </c>
      <c r="Q63" s="5" t="str">
        <f>VLOOKUP(Q30,Index!$A:$F,6,FALSE)</f>
        <v>Pa880</v>
      </c>
      <c r="R63" s="5" t="str">
        <f>VLOOKUP(R30,Index!$A:$F,6,FALSE)</f>
        <v>Sg1533</v>
      </c>
      <c r="S63" s="5" t="str">
        <f>VLOOKUP(S30,Index!$A:$F,6,FALSE)</f>
        <v>B103</v>
      </c>
      <c r="T63" s="4" t="str">
        <f>VLOOKUP(T30,Index!$A:$F,6,FALSE)</f>
        <v>GA209</v>
      </c>
      <c r="U63" s="4" t="str">
        <f>VLOOKUP(U30,Index!$A:$F,6,FALSE)</f>
        <v>FAPW</v>
      </c>
      <c r="V63" s="4" t="str">
        <f>VLOOKUP(V30,Index!$A:$F,6,FALSE)</f>
        <v>DJ7</v>
      </c>
      <c r="W63" s="4" t="str">
        <f>VLOOKUP(W30,Index!$A:$F,6,FALSE)</f>
        <v>T234</v>
      </c>
      <c r="X63" s="4" t="str">
        <f>VLOOKUP(X30,Index!$A:$F,6,FALSE)</f>
        <v>R229</v>
      </c>
      <c r="Y63" s="4" t="str">
        <f>VLOOKUP(Y30,Index!$A:$F,6,FALSE)</f>
        <v>CML332</v>
      </c>
      <c r="Z63" s="4" t="str">
        <f>VLOOKUP(Z30,Index!$A:$F,6,FALSE)</f>
        <v>CML91</v>
      </c>
      <c r="AA63" s="4" t="str">
        <f>VLOOKUP(AA30,Index!$A:$F,6,FALSE)</f>
        <v>PHW17</v>
      </c>
      <c r="AB63" s="4" t="str">
        <f>VLOOKUP(AB30,Index!$A:$F,6,FALSE)</f>
        <v>FBHJ</v>
      </c>
      <c r="AC63" s="4" t="str">
        <f>VLOOKUP(AC30,Index!$A:$F,6,FALSE)</f>
        <v>B14A</v>
      </c>
      <c r="AD63" s="4" t="str">
        <f>VLOOKUP(AD30,Index!$A:$F,6,FALSE)</f>
        <v>78551S</v>
      </c>
      <c r="AE63" s="4" t="str">
        <f>VLOOKUP(AE30,Index!$A:$F,6,FALSE)</f>
        <v>Mo46</v>
      </c>
      <c r="AF63" s="4" t="str">
        <f>VLOOKUP(AF30,Index!$A:$F,6,FALSE)</f>
        <v>B73</v>
      </c>
      <c r="AG63" s="4" t="str">
        <f>VLOOKUP(AG30,Index!$A:$F,6,FALSE)</f>
        <v>B46</v>
      </c>
      <c r="AH63" s="4" t="str">
        <f>VLOOKUP(AH30,Index!$A:$F,6,FALSE)</f>
        <v>IDS28</v>
      </c>
      <c r="AI63" s="4" t="str">
        <f>VLOOKUP(AI30,Index!$A:$F,6,FALSE)</f>
        <v>CI21E</v>
      </c>
      <c r="AJ63" s="11" t="s">
        <v>9</v>
      </c>
    </row>
    <row r="64" spans="1:36" ht="62.65" x14ac:dyDescent="0.45">
      <c r="A64" s="2"/>
      <c r="B64" s="3">
        <v>23</v>
      </c>
      <c r="C64" s="11" t="s">
        <v>9</v>
      </c>
      <c r="D64" s="5" t="str">
        <f>VLOOKUP(D31,Index!$A:$F,6,FALSE)</f>
        <v>Ki11</v>
      </c>
      <c r="E64" s="5" t="str">
        <f>VLOOKUP(E31,Index!$A:$F,6,FALSE)</f>
        <v>B73</v>
      </c>
      <c r="F64" s="5" t="str">
        <f>VLOOKUP(F31,Index!$A:$F,6,FALSE)</f>
        <v>DE811</v>
      </c>
      <c r="G64" s="5" t="str">
        <f>VLOOKUP(G31,Index!$A:$F,6,FALSE)</f>
        <v>KY228</v>
      </c>
      <c r="H64" s="5" t="str">
        <f>VLOOKUP(H31,Index!$A:$F,6,FALSE)</f>
        <v>PHW65</v>
      </c>
      <c r="I64" s="5" t="str">
        <f>VLOOKUP(I31,Index!$A:$F,6,FALSE)</f>
        <v>B84</v>
      </c>
      <c r="J64" s="5" t="str">
        <f>VLOOKUP(J31,Index!$A:$F,6,FALSE)</f>
        <v>B73</v>
      </c>
      <c r="K64" s="5" t="str">
        <f>VLOOKUP(K31,Index!$A:$F,6,FALSE)</f>
        <v>NC366</v>
      </c>
      <c r="L64" s="5" t="str">
        <f>VLOOKUP(L31,Index!$A:$F,6,FALSE)</f>
        <v>Mo17</v>
      </c>
      <c r="M64" s="5" t="str">
        <f>VLOOKUP(M31,Index!$A:$F,6,FALSE)</f>
        <v>2FACC</v>
      </c>
      <c r="N64" s="5" t="str">
        <f>VLOOKUP(N31,Index!$A:$F,6,FALSE)</f>
        <v>CML61</v>
      </c>
      <c r="O64" s="5" t="str">
        <f>VLOOKUP(O31,Index!$A:$F,6,FALSE)</f>
        <v>FBHJ</v>
      </c>
      <c r="P64" s="5" t="str">
        <f>VLOOKUP(P31,Index!$A:$F,6,FALSE)</f>
        <v>NC358</v>
      </c>
      <c r="Q64" s="5" t="str">
        <f>VLOOKUP(Q31,Index!$A:$F,6,FALSE)</f>
        <v>NC328</v>
      </c>
      <c r="R64" s="5" t="str">
        <f>VLOOKUP(R31,Index!$A:$F,6,FALSE)</f>
        <v>PHG39</v>
      </c>
      <c r="S64" s="5" t="str">
        <f>VLOOKUP(S31,Index!$A:$F,6,FALSE)</f>
        <v>CML322</v>
      </c>
      <c r="T64" s="4" t="str">
        <f>VLOOKUP(T31,Index!$A:$F,6,FALSE)</f>
        <v>CML220</v>
      </c>
      <c r="U64" s="4" t="str">
        <f>VLOOKUP(U31,Index!$A:$F,6,FALSE)</f>
        <v>F7</v>
      </c>
      <c r="V64" s="4" t="str">
        <f>VLOOKUP(V31,Index!$A:$F,6,FALSE)</f>
        <v>NC230</v>
      </c>
      <c r="W64" s="4" t="str">
        <f>VLOOKUP(W31,Index!$A:$F,6,FALSE)</f>
        <v>778</v>
      </c>
      <c r="X64" s="4" t="str">
        <f>VLOOKUP(X31,Index!$A:$F,6,FALSE)</f>
        <v>UFMu-07868</v>
      </c>
      <c r="Y64" s="4" t="str">
        <f>VLOOKUP(Y31,Index!$A:$F,6,FALSE)</f>
        <v>W22</v>
      </c>
      <c r="Z64" s="4" t="str">
        <f>VLOOKUP(Z31,Index!$A:$F,6,FALSE)</f>
        <v>B73</v>
      </c>
      <c r="AA64" s="4" t="str">
        <f>VLOOKUP(AA31,Index!$A:$F,6,FALSE)</f>
        <v>UFMu-08805</v>
      </c>
      <c r="AB64" s="4" t="str">
        <f>VLOOKUP(AB31,Index!$A:$F,6,FALSE)</f>
        <v>B73</v>
      </c>
      <c r="AC64" s="4" t="str">
        <f>VLOOKUP(AC31,Index!$A:$F,6,FALSE)</f>
        <v>B73</v>
      </c>
      <c r="AD64" s="4" t="str">
        <f>VLOOKUP(AD31,Index!$A:$F,6,FALSE)</f>
        <v>LH54</v>
      </c>
      <c r="AE64" s="4" t="str">
        <f>VLOOKUP(AE31,Index!$A:$F,6,FALSE)</f>
        <v>IA2132</v>
      </c>
      <c r="AF64" s="4" t="str">
        <f>VLOOKUP(AF31,Index!$A:$F,6,FALSE)</f>
        <v>S8324</v>
      </c>
      <c r="AG64" s="4" t="str">
        <f>VLOOKUP(AG31,Index!$A:$F,6,FALSE)</f>
        <v>H99</v>
      </c>
      <c r="AH64" s="4" t="str">
        <f>VLOOKUP(AH31,Index!$A:$F,6,FALSE)</f>
        <v>F42</v>
      </c>
      <c r="AI64" s="4" t="str">
        <f>VLOOKUP(AI31,Index!$A:$F,6,FALSE)</f>
        <v>MQ305</v>
      </c>
      <c r="AJ64" s="11" t="s">
        <v>9</v>
      </c>
    </row>
    <row r="65" spans="1:36" ht="232.5" x14ac:dyDescent="0.45">
      <c r="A65" s="2"/>
      <c r="B65" s="3">
        <v>24</v>
      </c>
      <c r="C65" s="11" t="s">
        <v>9</v>
      </c>
      <c r="D65" s="5" t="str">
        <f>VLOOKUP(D32,Index!$A:$F,6,FALSE)</f>
        <v>B46</v>
      </c>
      <c r="E65" s="5" t="str">
        <f>VLOOKUP(E32,Index!$A:$F,6,FALSE)</f>
        <v>Black Jewell 85</v>
      </c>
      <c r="F65" s="5" t="str">
        <f>VLOOKUP(F32,Index!$A:$F,6,FALSE)</f>
        <v>R229</v>
      </c>
      <c r="G65" s="5" t="str">
        <f>VLOOKUP(G32,Index!$A:$F,6,FALSE)</f>
        <v>IDS28</v>
      </c>
      <c r="H65" s="5" t="str">
        <f>VLOOKUP(H32,Index!$A:$F,6,FALSE)</f>
        <v>GA209</v>
      </c>
      <c r="I65" s="5" t="str">
        <f>VLOOKUP(I32,Index!$A:$F,6,FALSE)</f>
        <v>CQ702RC</v>
      </c>
      <c r="J65" s="5" t="str">
        <f>VLOOKUP(J32,Index!$A:$F,6,FALSE)</f>
        <v>SC213R</v>
      </c>
      <c r="K65" s="5" t="str">
        <f>VLOOKUP(K32,Index!$A:$F,6,FALSE)</f>
        <v>CI64</v>
      </c>
      <c r="L65" s="5" t="str">
        <f>VLOOKUP(L32,Index!$A:$F,6,FALSE)</f>
        <v>LP1 NR HT</v>
      </c>
      <c r="M65" s="5" t="str">
        <f>VLOOKUP(M32,Index!$A:$F,6,FALSE)</f>
        <v>Hi27</v>
      </c>
      <c r="N65" s="5" t="str">
        <f>VLOOKUP(N32,Index!$A:$F,6,FALSE)</f>
        <v>PHG83</v>
      </c>
      <c r="O65" s="5" t="str">
        <f>VLOOKUP(O32,Index!$A:$F,6,FALSE)</f>
        <v>R177</v>
      </c>
      <c r="P65" s="5" t="str">
        <f>VLOOKUP(P32,Index!$A:$F,6,FALSE)</f>
        <v>B73</v>
      </c>
      <c r="Q65" s="5" t="str">
        <f>VLOOKUP(Q32,Index!$A:$F,6,FALSE)</f>
        <v>CML264</v>
      </c>
      <c r="R65" s="5" t="str">
        <f>VLOOKUP(R32,Index!$A:$F,6,FALSE)</f>
        <v>MBNA</v>
      </c>
      <c r="S65" s="5" t="str">
        <f>VLOOKUP(S32,Index!$A:$F,6,FALSE)</f>
        <v>NC342</v>
      </c>
      <c r="T65" s="4" t="str">
        <f>VLOOKUP(T32,Index!$A:$F,6,FALSE)</f>
        <v>L127</v>
      </c>
      <c r="U65" s="4" t="str">
        <f>VLOOKUP(U32,Index!$A:$F,6,FALSE)</f>
        <v>UFMu-11445</v>
      </c>
      <c r="V65" s="4" t="str">
        <f>VLOOKUP(V32,Index!$A:$F,6,FALSE)</f>
        <v>IDS69</v>
      </c>
      <c r="W65" s="4" t="str">
        <f>VLOOKUP(W32,Index!$A:$F,6,FALSE)</f>
        <v>Il101</v>
      </c>
      <c r="X65" s="4" t="str">
        <f>VLOOKUP(X32,Index!$A:$F,6,FALSE)</f>
        <v>UFMu-10402</v>
      </c>
      <c r="Y65" s="4" t="str">
        <f>VLOOKUP(Y32,Index!$A:$F,6,FALSE)</f>
        <v>B73</v>
      </c>
      <c r="Z65" s="4" t="str">
        <f>VLOOKUP(Z32,Index!$A:$F,6,FALSE)</f>
        <v>W153R</v>
      </c>
      <c r="AA65" s="4" t="str">
        <f>VLOOKUP(AA32,Index!$A:$F,6,FALSE)</f>
        <v>EP1</v>
      </c>
      <c r="AB65" s="4" t="str">
        <f>VLOOKUP(AB32,Index!$A:$F,6,FALSE)</f>
        <v>CM7</v>
      </c>
      <c r="AC65" s="4" t="str">
        <f>VLOOKUP(AC32,Index!$A:$F,6,FALSE)</f>
        <v>I29</v>
      </c>
      <c r="AD65" s="4" t="str">
        <f>VLOOKUP(AD32,Index!$A:$F,6,FALSE)</f>
        <v>UFMu-08808</v>
      </c>
      <c r="AE65" s="4" t="str">
        <f>VLOOKUP(AE32,Index!$A:$F,6,FALSE)</f>
        <v>[white variegated (iso. From bm4 Ac3252) (B73-1)]</v>
      </c>
      <c r="AF65" s="4" t="str">
        <f>VLOOKUP(AF32,Index!$A:$F,6,FALSE)</f>
        <v>PHG47</v>
      </c>
      <c r="AG65" s="4" t="str">
        <f>VLOOKUP(AG32,Index!$A:$F,6,FALSE)</f>
        <v>78010</v>
      </c>
      <c r="AH65" s="4" t="str">
        <f>VLOOKUP(AH32,Index!$A:$F,6,FALSE)</f>
        <v>A188</v>
      </c>
      <c r="AI65" s="4" t="str">
        <f>VLOOKUP(AI32,Index!$A:$F,6,FALSE)</f>
        <v>NC364</v>
      </c>
      <c r="AJ65" s="11" t="s">
        <v>9</v>
      </c>
    </row>
    <row r="66" spans="1:36" ht="62.65" x14ac:dyDescent="0.45">
      <c r="A66" s="2"/>
      <c r="B66" s="3">
        <v>25</v>
      </c>
      <c r="C66" s="11" t="s">
        <v>9</v>
      </c>
      <c r="D66" s="5" t="str">
        <f>VLOOKUP(D33,Index!$A:$F,6,FALSE)</f>
        <v>MQ305</v>
      </c>
      <c r="E66" s="5" t="str">
        <f>VLOOKUP(E33,Index!$A:$F,6,FALSE)</f>
        <v>Wf9</v>
      </c>
      <c r="F66" s="5" t="str">
        <f>VLOOKUP(F33,Index!$A:$F,6,FALSE)</f>
        <v>NC326</v>
      </c>
      <c r="G66" s="5" t="str">
        <f>VLOOKUP(G33,Index!$A:$F,6,FALSE)</f>
        <v>B2</v>
      </c>
      <c r="H66" s="5" t="str">
        <f>VLOOKUP(H33,Index!$A:$F,6,FALSE)</f>
        <v>B97</v>
      </c>
      <c r="I66" s="5" t="str">
        <f>VLOOKUP(I33,Index!$A:$F,6,FALSE)</f>
        <v>FAPW</v>
      </c>
      <c r="J66" s="5" t="str">
        <f>VLOOKUP(J33,Index!$A:$F,6,FALSE)</f>
        <v>78371A</v>
      </c>
      <c r="K66" s="5" t="str">
        <f>VLOOKUP(K33,Index!$A:$F,6,FALSE)</f>
        <v>H84</v>
      </c>
      <c r="L66" s="5" t="str">
        <f>VLOOKUP(L33,Index!$A:$F,6,FALSE)</f>
        <v>NC234</v>
      </c>
      <c r="M66" s="5" t="str">
        <f>VLOOKUP(M33,Index!$A:$F,6,FALSE)</f>
        <v>B73</v>
      </c>
      <c r="N66" s="5" t="str">
        <f>VLOOKUP(N33,Index!$A:$F,6,FALSE)</f>
        <v>LH74</v>
      </c>
      <c r="O66" s="5" t="str">
        <f>VLOOKUP(O33,Index!$A:$F,6,FALSE)</f>
        <v>B73</v>
      </c>
      <c r="P66" s="5" t="str">
        <f>VLOOKUP(P33,Index!$A:$F,6,FALSE)</f>
        <v>NC298</v>
      </c>
      <c r="Q66" s="5" t="str">
        <f>VLOOKUP(Q33,Index!$A:$F,6,FALSE)</f>
        <v>E8501</v>
      </c>
      <c r="R66" s="5" t="str">
        <f>VLOOKUP(R33,Index!$A:$F,6,FALSE)</f>
        <v>HP301</v>
      </c>
      <c r="S66" s="5" t="str">
        <f>VLOOKUP(S33,Index!$A:$F,6,FALSE)</f>
        <v>NC344</v>
      </c>
      <c r="T66" s="4" t="str">
        <f>VLOOKUP(T33,Index!$A:$F,6,FALSE)</f>
        <v>RS 710</v>
      </c>
      <c r="U66" s="4" t="str">
        <f>VLOOKUP(U33,Index!$A:$F,6,FALSE)</f>
        <v>UFMu-07581</v>
      </c>
      <c r="V66" s="4" t="str">
        <f>VLOOKUP(V33,Index!$A:$F,6,FALSE)</f>
        <v>NC262</v>
      </c>
      <c r="W66" s="4" t="str">
        <f>VLOOKUP(W33,Index!$A:$F,6,FALSE)</f>
        <v>LH1</v>
      </c>
      <c r="X66" s="4" t="str">
        <f>VLOOKUP(X33,Index!$A:$F,6,FALSE)</f>
        <v>W117Ht</v>
      </c>
      <c r="Y66" s="4" t="str">
        <f>VLOOKUP(Y33,Index!$A:$F,6,FALSE)</f>
        <v>NC360</v>
      </c>
      <c r="Z66" s="4" t="str">
        <f>VLOOKUP(Z33,Index!$A:$F,6,FALSE)</f>
        <v>W22 R1-r</v>
      </c>
      <c r="AA66" s="4" t="str">
        <f>VLOOKUP(AA33,Index!$A:$F,6,FALSE)</f>
        <v>UFMu-02421</v>
      </c>
      <c r="AB66" s="4" t="str">
        <f>VLOOKUP(AB33,Index!$A:$F,6,FALSE)</f>
        <v>A556</v>
      </c>
      <c r="AC66" s="4" t="str">
        <f>VLOOKUP(AC33,Index!$A:$F,6,FALSE)</f>
        <v>CO106</v>
      </c>
      <c r="AD66" s="4" t="str">
        <f>VLOOKUP(AD33,Index!$A:$F,6,FALSE)</f>
        <v>CI187-2</v>
      </c>
      <c r="AE66" s="4" t="str">
        <f>VLOOKUP(AE33,Index!$A:$F,6,FALSE)</f>
        <v>UFMu-05595</v>
      </c>
      <c r="AF66" s="4" t="str">
        <f>VLOOKUP(AF33,Index!$A:$F,6,FALSE)</f>
        <v>A654</v>
      </c>
      <c r="AG66" s="4" t="str">
        <f>VLOOKUP(AG33,Index!$A:$F,6,FALSE)</f>
        <v>29MIBZ2</v>
      </c>
      <c r="AH66" s="4" t="str">
        <f>VLOOKUP(AH33,Index!$A:$F,6,FALSE)</f>
        <v>CI66</v>
      </c>
      <c r="AI66" s="4" t="str">
        <f>VLOOKUP(AI33,Index!$A:$F,6,FALSE)</f>
        <v>UFMu-08594</v>
      </c>
      <c r="AJ66" s="11" t="s">
        <v>9</v>
      </c>
    </row>
    <row r="67" spans="1:36" ht="232.5" x14ac:dyDescent="0.45">
      <c r="A67" s="2"/>
      <c r="B67" s="3">
        <v>26</v>
      </c>
      <c r="C67" s="11" t="s">
        <v>9</v>
      </c>
      <c r="D67" s="5" t="str">
        <f>VLOOKUP(D34,Index!$A:$F,6,FALSE)</f>
        <v>Pioneer P1185AM</v>
      </c>
      <c r="E67" s="5" t="str">
        <f>VLOOKUP(E34,Index!$A:$F,6,FALSE)</f>
        <v>Pioneer P1185AM</v>
      </c>
      <c r="F67" s="5" t="str">
        <f>VLOOKUP(F34,Index!$A:$F,6,FALSE)</f>
        <v>Pioneer P1185AM</v>
      </c>
      <c r="G67" s="5" t="str">
        <f>VLOOKUP(G34,Index!$A:$F,6,FALSE)</f>
        <v>Pioneer P1185AM</v>
      </c>
      <c r="H67" s="5" t="str">
        <f>VLOOKUP(H34,Index!$A:$F,6,FALSE)</f>
        <v>MO1W</v>
      </c>
      <c r="I67" s="5" t="str">
        <f>VLOOKUP(I34,Index!$A:$F,6,FALSE)</f>
        <v>[white variegated (iso. From bm4 Ac3252) (B73-1)]</v>
      </c>
      <c r="J67" s="5" t="str">
        <f>VLOOKUP(J34,Index!$A:$F,6,FALSE)</f>
        <v>T232</v>
      </c>
      <c r="K67" s="5" t="str">
        <f>VLOOKUP(K34,Index!$A:$F,6,FALSE)</f>
        <v>4722</v>
      </c>
      <c r="L67" s="5" t="str">
        <f>VLOOKUP(L34,Index!$A:$F,6,FALSE)</f>
        <v>LH60</v>
      </c>
      <c r="M67" s="5" t="str">
        <f>VLOOKUP(M34,Index!$A:$F,6,FALSE)</f>
        <v>Tzi10</v>
      </c>
      <c r="N67" s="5" t="str">
        <f>VLOOKUP(N34,Index!$A:$F,6,FALSE)</f>
        <v>B52</v>
      </c>
      <c r="O67" s="5" t="str">
        <f>VLOOKUP(O34,Index!$A:$F,6,FALSE)</f>
        <v>B73</v>
      </c>
      <c r="P67" s="5" t="str">
        <f>VLOOKUP(P34,Index!$A:$F,6,FALSE)</f>
        <v>CML154Q</v>
      </c>
      <c r="Q67" s="5" t="str">
        <f>VLOOKUP(Q34,Index!$A:$F,6,FALSE)</f>
        <v>F118</v>
      </c>
      <c r="R67" s="5" t="str">
        <f>VLOOKUP(R34,Index!$A:$F,6,FALSE)</f>
        <v>B73</v>
      </c>
      <c r="S67" s="5" t="str">
        <f>VLOOKUP(S34,Index!$A:$F,6,FALSE)</f>
        <v>S8326</v>
      </c>
      <c r="T67" s="4" t="str">
        <f>VLOOKUP(T34,Index!$A:$F,6,FALSE)</f>
        <v>Pioneer P1185AM</v>
      </c>
      <c r="U67" s="4" t="str">
        <f>VLOOKUP(U34,Index!$A:$F,6,FALSE)</f>
        <v>Pioneer P1185AM</v>
      </c>
      <c r="V67" s="4" t="str">
        <f>VLOOKUP(V34,Index!$A:$F,6,FALSE)</f>
        <v>Pioneer P1185AM</v>
      </c>
      <c r="W67" s="4" t="str">
        <f>VLOOKUP(W34,Index!$A:$F,6,FALSE)</f>
        <v>Pioneer P1185AM</v>
      </c>
      <c r="X67" s="4" t="str">
        <f>VLOOKUP(X34,Index!$A:$F,6,FALSE)</f>
        <v>NC290A</v>
      </c>
      <c r="Y67" s="4" t="str">
        <f>VLOOKUP(Y34,Index!$A:$F,6,FALSE)</f>
        <v>Mt42</v>
      </c>
      <c r="Z67" s="4" t="str">
        <f>VLOOKUP(Z34,Index!$A:$F,6,FALSE)</f>
        <v>779</v>
      </c>
      <c r="AA67" s="4" t="str">
        <f>VLOOKUP(AA34,Index!$A:$F,6,FALSE)</f>
        <v>LH57</v>
      </c>
      <c r="AB67" s="4" t="str">
        <f>VLOOKUP(AB34,Index!$A:$F,6,FALSE)</f>
        <v>NC302</v>
      </c>
      <c r="AC67" s="4" t="str">
        <f>VLOOKUP(AC34,Index!$A:$F,6,FALSE)</f>
        <v>B73</v>
      </c>
      <c r="AD67" s="4" t="str">
        <f>VLOOKUP(AD34,Index!$A:$F,6,FALSE)</f>
        <v>Mo47</v>
      </c>
      <c r="AE67" s="4" t="str">
        <f>VLOOKUP(AE34,Index!$A:$F,6,FALSE)</f>
        <v>Yu796_NS</v>
      </c>
      <c r="AF67" s="4" t="str">
        <f>VLOOKUP(AF34,Index!$A:$F,6,FALSE)</f>
        <v>P39</v>
      </c>
      <c r="AG67" s="4" t="str">
        <f>VLOOKUP(AG34,Index!$A:$F,6,FALSE)</f>
        <v>NC346</v>
      </c>
      <c r="AH67" s="4" t="str">
        <f>VLOOKUP(AH34,Index!$A:$F,6,FALSE)</f>
        <v>CM37</v>
      </c>
      <c r="AI67" s="4" t="str">
        <f>VLOOKUP(AI34,Index!$A:$F,6,FALSE)</f>
        <v>B73</v>
      </c>
      <c r="AJ67" s="11" t="s">
        <v>9</v>
      </c>
    </row>
    <row r="68" spans="1:36" ht="34.15" x14ac:dyDescent="0.45">
      <c r="A68" s="2"/>
      <c r="B68" s="3">
        <v>27</v>
      </c>
      <c r="C68" s="11" t="s">
        <v>9</v>
      </c>
      <c r="D68" s="11" t="s">
        <v>9</v>
      </c>
      <c r="E68" s="11" t="s">
        <v>9</v>
      </c>
      <c r="F68" s="11" t="s">
        <v>9</v>
      </c>
      <c r="G68" s="11" t="s">
        <v>9</v>
      </c>
      <c r="H68" s="11" t="s">
        <v>9</v>
      </c>
      <c r="I68" s="11" t="s">
        <v>9</v>
      </c>
      <c r="J68" s="11" t="s">
        <v>9</v>
      </c>
      <c r="K68" s="11" t="s">
        <v>9</v>
      </c>
      <c r="L68" s="11" t="s">
        <v>9</v>
      </c>
      <c r="M68" s="11" t="s">
        <v>9</v>
      </c>
      <c r="N68" s="11" t="s">
        <v>9</v>
      </c>
      <c r="O68" s="11" t="s">
        <v>9</v>
      </c>
      <c r="P68" s="11" t="s">
        <v>9</v>
      </c>
      <c r="Q68" s="11" t="s">
        <v>9</v>
      </c>
      <c r="R68" s="11" t="s">
        <v>9</v>
      </c>
      <c r="S68" s="11" t="s">
        <v>9</v>
      </c>
      <c r="T68" s="11" t="s">
        <v>9</v>
      </c>
      <c r="U68" s="11" t="s">
        <v>9</v>
      </c>
      <c r="V68" s="11" t="s">
        <v>9</v>
      </c>
      <c r="W68" s="11" t="s">
        <v>9</v>
      </c>
      <c r="X68" s="11" t="s">
        <v>9</v>
      </c>
      <c r="Y68" s="11" t="s">
        <v>9</v>
      </c>
      <c r="Z68" s="11" t="s">
        <v>9</v>
      </c>
      <c r="AA68" s="11" t="s">
        <v>9</v>
      </c>
      <c r="AB68" s="11" t="s">
        <v>9</v>
      </c>
      <c r="AC68" s="11" t="s">
        <v>9</v>
      </c>
      <c r="AD68" s="11" t="s">
        <v>9</v>
      </c>
      <c r="AE68" s="11" t="s">
        <v>9</v>
      </c>
      <c r="AF68" s="11" t="s">
        <v>9</v>
      </c>
      <c r="AG68" s="11" t="s">
        <v>9</v>
      </c>
      <c r="AH68" s="11" t="s">
        <v>9</v>
      </c>
      <c r="AI68" s="11" t="s">
        <v>9</v>
      </c>
      <c r="AJ68" s="11" t="s">
        <v>9</v>
      </c>
    </row>
  </sheetData>
  <sortState xmlns:xlrd2="http://schemas.microsoft.com/office/spreadsheetml/2017/richdata2" ref="DA9:DA36">
    <sortCondition ref="DA9:DA36"/>
  </sortState>
  <mergeCells count="37">
    <mergeCell ref="CE7:CF7"/>
    <mergeCell ref="CG7:CH7"/>
    <mergeCell ref="CI7:CJ7"/>
    <mergeCell ref="BW7:BX7"/>
    <mergeCell ref="DE7:DF7"/>
    <mergeCell ref="BY7:BZ7"/>
    <mergeCell ref="CA7:CB7"/>
    <mergeCell ref="CC7:CD7"/>
    <mergeCell ref="DG7:DH7"/>
    <mergeCell ref="CK7:CL7"/>
    <mergeCell ref="CM7:CN7"/>
    <mergeCell ref="CO7:CP7"/>
    <mergeCell ref="CQ7:CR7"/>
    <mergeCell ref="CS7:CT7"/>
    <mergeCell ref="CU7:CV7"/>
    <mergeCell ref="CW7:CX7"/>
    <mergeCell ref="CY7:CZ7"/>
    <mergeCell ref="DA7:DB7"/>
    <mergeCell ref="DC7:DD7"/>
    <mergeCell ref="BM7:BN7"/>
    <mergeCell ref="BO7:BP7"/>
    <mergeCell ref="BQ7:BR7"/>
    <mergeCell ref="BS7:BT7"/>
    <mergeCell ref="BU7:BV7"/>
    <mergeCell ref="BK7:BL7"/>
    <mergeCell ref="K1:S1"/>
    <mergeCell ref="D3:J3"/>
    <mergeCell ref="AS7:AT7"/>
    <mergeCell ref="AU7:AV7"/>
    <mergeCell ref="AW7:AX7"/>
    <mergeCell ref="AY7:AZ7"/>
    <mergeCell ref="BA7:BB7"/>
    <mergeCell ref="BC7:BD7"/>
    <mergeCell ref="BE7:BF7"/>
    <mergeCell ref="BG7:BH7"/>
    <mergeCell ref="BI7:BJ7"/>
    <mergeCell ref="AT3:BL3"/>
  </mergeCells>
  <pageMargins left="0.7" right="0.7" top="0.75" bottom="0.75" header="0.3" footer="0.3"/>
  <pageSetup scale="17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14D30-C538-4FFB-B5B1-9F2980F060DD}">
  <dimension ref="A1:G919"/>
  <sheetViews>
    <sheetView zoomScale="115" zoomScaleNormal="115" workbookViewId="0">
      <selection activeCellId="2" sqref="G1:G1048576 F1:F1048576 A1:A1048576"/>
    </sheetView>
  </sheetViews>
  <sheetFormatPr defaultRowHeight="14.25" x14ac:dyDescent="0.45"/>
  <cols>
    <col min="6" max="6" width="42.6640625" bestFit="1" customWidth="1"/>
  </cols>
  <sheetData>
    <row r="1" spans="1:7" x14ac:dyDescent="0.45">
      <c r="A1" t="s">
        <v>10</v>
      </c>
      <c r="B1" t="s">
        <v>11</v>
      </c>
      <c r="C1" t="s">
        <v>7</v>
      </c>
      <c r="D1" t="s">
        <v>12</v>
      </c>
      <c r="E1" t="s">
        <v>13</v>
      </c>
      <c r="F1" t="s">
        <v>806</v>
      </c>
      <c r="G1" t="s">
        <v>98</v>
      </c>
    </row>
    <row r="2" spans="1:7" x14ac:dyDescent="0.45">
      <c r="A2" t="str">
        <f>VLOOKUP(C2,'Field Layout'!$B$9:$AJ$35,MATCH(Index!B2,'Field Layout'!$B$8:$AJ$8,0),FALSE)</f>
        <v>Border</v>
      </c>
      <c r="B2">
        <v>1</v>
      </c>
      <c r="C2">
        <v>1</v>
      </c>
      <c r="D2">
        <v>150</v>
      </c>
      <c r="E2" t="s">
        <v>54</v>
      </c>
      <c r="F2" t="s">
        <v>92</v>
      </c>
      <c r="G2" t="s">
        <v>99</v>
      </c>
    </row>
    <row r="3" spans="1:7" x14ac:dyDescent="0.45">
      <c r="A3" t="str">
        <f>VLOOKUP(C3,'Field Layout'!$B$9:$AJ$35,MATCH(Index!B3,'Field Layout'!$B$8:$AJ$8,0),FALSE)</f>
        <v>Border</v>
      </c>
      <c r="B3">
        <v>1</v>
      </c>
      <c r="C3">
        <v>2</v>
      </c>
      <c r="D3">
        <v>150</v>
      </c>
      <c r="E3" t="s">
        <v>54</v>
      </c>
      <c r="F3" t="s">
        <v>92</v>
      </c>
      <c r="G3" t="s">
        <v>99</v>
      </c>
    </row>
    <row r="4" spans="1:7" x14ac:dyDescent="0.45">
      <c r="A4" t="str">
        <f>VLOOKUP(C4,'Field Layout'!$B$9:$AJ$35,MATCH(Index!B4,'Field Layout'!$B$8:$AJ$8,0),FALSE)</f>
        <v>Border</v>
      </c>
      <c r="B4">
        <v>1</v>
      </c>
      <c r="C4">
        <v>3</v>
      </c>
      <c r="D4">
        <v>150</v>
      </c>
      <c r="E4" t="s">
        <v>54</v>
      </c>
      <c r="F4" t="s">
        <v>92</v>
      </c>
      <c r="G4" t="s">
        <v>99</v>
      </c>
    </row>
    <row r="5" spans="1:7" x14ac:dyDescent="0.45">
      <c r="A5" t="str">
        <f>VLOOKUP(C5,'Field Layout'!$B$9:$AJ$35,MATCH(Index!B5,'Field Layout'!$B$8:$AJ$8,0),FALSE)</f>
        <v>Border</v>
      </c>
      <c r="B5">
        <v>1</v>
      </c>
      <c r="C5">
        <v>4</v>
      </c>
      <c r="D5">
        <v>150</v>
      </c>
      <c r="E5" t="s">
        <v>54</v>
      </c>
      <c r="F5" t="s">
        <v>92</v>
      </c>
      <c r="G5" t="s">
        <v>99</v>
      </c>
    </row>
    <row r="6" spans="1:7" x14ac:dyDescent="0.45">
      <c r="A6" t="str">
        <f>VLOOKUP(C6,'Field Layout'!$B$9:$AJ$35,MATCH(Index!B6,'Field Layout'!$B$8:$AJ$8,0),FALSE)</f>
        <v>Border</v>
      </c>
      <c r="B6">
        <v>1</v>
      </c>
      <c r="C6">
        <v>5</v>
      </c>
      <c r="D6">
        <v>150</v>
      </c>
      <c r="E6" t="s">
        <v>54</v>
      </c>
      <c r="F6" t="s">
        <v>92</v>
      </c>
      <c r="G6" t="s">
        <v>99</v>
      </c>
    </row>
    <row r="7" spans="1:7" x14ac:dyDescent="0.45">
      <c r="A7" t="str">
        <f>VLOOKUP(C7,'Field Layout'!$B$9:$AJ$35,MATCH(Index!B7,'Field Layout'!$B$8:$AJ$8,0),FALSE)</f>
        <v>Border</v>
      </c>
      <c r="B7">
        <v>1</v>
      </c>
      <c r="C7">
        <v>6</v>
      </c>
      <c r="D7">
        <v>150</v>
      </c>
      <c r="E7" t="s">
        <v>54</v>
      </c>
      <c r="F7" t="s">
        <v>92</v>
      </c>
      <c r="G7" t="s">
        <v>99</v>
      </c>
    </row>
    <row r="8" spans="1:7" x14ac:dyDescent="0.45">
      <c r="A8" t="str">
        <f>VLOOKUP(C8,'Field Layout'!$B$9:$AJ$35,MATCH(Index!B8,'Field Layout'!$B$8:$AJ$8,0),FALSE)</f>
        <v>Border</v>
      </c>
      <c r="B8">
        <v>1</v>
      </c>
      <c r="C8">
        <v>7</v>
      </c>
      <c r="D8">
        <v>150</v>
      </c>
      <c r="E8" t="s">
        <v>54</v>
      </c>
      <c r="F8" t="s">
        <v>92</v>
      </c>
      <c r="G8" t="s">
        <v>99</v>
      </c>
    </row>
    <row r="9" spans="1:7" x14ac:dyDescent="0.45">
      <c r="A9" t="str">
        <f>VLOOKUP(C9,'Field Layout'!$B$9:$AJ$35,MATCH(Index!B9,'Field Layout'!$B$8:$AJ$8,0),FALSE)</f>
        <v>Border</v>
      </c>
      <c r="B9">
        <v>1</v>
      </c>
      <c r="C9">
        <v>8</v>
      </c>
      <c r="D9">
        <v>150</v>
      </c>
      <c r="E9" t="s">
        <v>54</v>
      </c>
      <c r="F9" t="s">
        <v>92</v>
      </c>
      <c r="G9" t="s">
        <v>99</v>
      </c>
    </row>
    <row r="10" spans="1:7" x14ac:dyDescent="0.45">
      <c r="A10" t="str">
        <f>VLOOKUP(C10,'Field Layout'!$B$9:$AJ$35,MATCH(Index!B10,'Field Layout'!$B$8:$AJ$8,0),FALSE)</f>
        <v>Border</v>
      </c>
      <c r="B10">
        <v>1</v>
      </c>
      <c r="C10">
        <v>9</v>
      </c>
      <c r="D10">
        <v>150</v>
      </c>
      <c r="E10" t="s">
        <v>54</v>
      </c>
      <c r="F10" t="s">
        <v>92</v>
      </c>
      <c r="G10" t="s">
        <v>99</v>
      </c>
    </row>
    <row r="11" spans="1:7" x14ac:dyDescent="0.45">
      <c r="A11" t="str">
        <f>VLOOKUP(C11,'Field Layout'!$B$9:$AJ$35,MATCH(Index!B11,'Field Layout'!$B$8:$AJ$8,0),FALSE)</f>
        <v>Border</v>
      </c>
      <c r="B11">
        <v>1</v>
      </c>
      <c r="C11">
        <v>10</v>
      </c>
      <c r="D11">
        <v>150</v>
      </c>
      <c r="E11" t="s">
        <v>54</v>
      </c>
      <c r="F11" t="s">
        <v>92</v>
      </c>
      <c r="G11" t="s">
        <v>99</v>
      </c>
    </row>
    <row r="12" spans="1:7" x14ac:dyDescent="0.45">
      <c r="A12" t="str">
        <f>VLOOKUP(C12,'Field Layout'!$B$9:$AJ$35,MATCH(Index!B12,'Field Layout'!$B$8:$AJ$8,0),FALSE)</f>
        <v>Border</v>
      </c>
      <c r="B12">
        <v>1</v>
      </c>
      <c r="C12">
        <v>11</v>
      </c>
      <c r="D12">
        <v>150</v>
      </c>
      <c r="E12" t="s">
        <v>54</v>
      </c>
      <c r="F12" t="s">
        <v>92</v>
      </c>
      <c r="G12" t="s">
        <v>99</v>
      </c>
    </row>
    <row r="13" spans="1:7" x14ac:dyDescent="0.45">
      <c r="A13" t="str">
        <f>VLOOKUP(C13,'Field Layout'!$B$9:$AJ$35,MATCH(Index!B13,'Field Layout'!$B$8:$AJ$8,0),FALSE)</f>
        <v>Border</v>
      </c>
      <c r="B13">
        <v>1</v>
      </c>
      <c r="C13">
        <v>12</v>
      </c>
      <c r="D13">
        <v>150</v>
      </c>
      <c r="E13" t="s">
        <v>54</v>
      </c>
      <c r="F13" t="s">
        <v>92</v>
      </c>
      <c r="G13" t="s">
        <v>99</v>
      </c>
    </row>
    <row r="14" spans="1:7" x14ac:dyDescent="0.45">
      <c r="A14" t="str">
        <f>VLOOKUP(C14,'Field Layout'!$B$9:$AJ$35,MATCH(Index!B14,'Field Layout'!$B$8:$AJ$8,0),FALSE)</f>
        <v>Border</v>
      </c>
      <c r="B14">
        <v>1</v>
      </c>
      <c r="C14">
        <v>13</v>
      </c>
      <c r="D14">
        <v>150</v>
      </c>
      <c r="E14" t="s">
        <v>54</v>
      </c>
      <c r="F14" t="s">
        <v>92</v>
      </c>
      <c r="G14" t="s">
        <v>99</v>
      </c>
    </row>
    <row r="15" spans="1:7" x14ac:dyDescent="0.45">
      <c r="A15" t="str">
        <f>VLOOKUP(C15,'Field Layout'!$B$9:$AJ$35,MATCH(Index!B15,'Field Layout'!$B$8:$AJ$8,0),FALSE)</f>
        <v>Border</v>
      </c>
      <c r="B15">
        <v>1</v>
      </c>
      <c r="C15">
        <v>14</v>
      </c>
      <c r="D15">
        <v>150</v>
      </c>
      <c r="E15" t="s">
        <v>54</v>
      </c>
      <c r="F15" t="s">
        <v>92</v>
      </c>
      <c r="G15" t="s">
        <v>99</v>
      </c>
    </row>
    <row r="16" spans="1:7" x14ac:dyDescent="0.45">
      <c r="A16" t="str">
        <f>VLOOKUP(C16,'Field Layout'!$B$9:$AJ$35,MATCH(Index!B16,'Field Layout'!$B$8:$AJ$8,0),FALSE)</f>
        <v>Border</v>
      </c>
      <c r="B16">
        <v>1</v>
      </c>
      <c r="C16">
        <v>15</v>
      </c>
      <c r="D16">
        <v>150</v>
      </c>
      <c r="E16" t="s">
        <v>54</v>
      </c>
      <c r="F16" t="s">
        <v>92</v>
      </c>
      <c r="G16" t="s">
        <v>99</v>
      </c>
    </row>
    <row r="17" spans="1:7" x14ac:dyDescent="0.45">
      <c r="A17" t="str">
        <f>VLOOKUP(C17,'Field Layout'!$B$9:$AJ$35,MATCH(Index!B17,'Field Layout'!$B$8:$AJ$8,0),FALSE)</f>
        <v>Border</v>
      </c>
      <c r="B17">
        <v>1</v>
      </c>
      <c r="C17">
        <v>16</v>
      </c>
      <c r="D17">
        <v>150</v>
      </c>
      <c r="E17" t="s">
        <v>54</v>
      </c>
      <c r="F17" t="s">
        <v>92</v>
      </c>
      <c r="G17" t="s">
        <v>99</v>
      </c>
    </row>
    <row r="18" spans="1:7" x14ac:dyDescent="0.45">
      <c r="A18" t="str">
        <f>VLOOKUP(C18,'Field Layout'!$B$9:$AJ$35,MATCH(Index!B18,'Field Layout'!$B$8:$AJ$8,0),FALSE)</f>
        <v>Border</v>
      </c>
      <c r="B18">
        <v>1</v>
      </c>
      <c r="C18">
        <v>17</v>
      </c>
      <c r="D18">
        <v>150</v>
      </c>
      <c r="E18" t="s">
        <v>54</v>
      </c>
      <c r="F18" t="s">
        <v>92</v>
      </c>
      <c r="G18" t="s">
        <v>99</v>
      </c>
    </row>
    <row r="19" spans="1:7" x14ac:dyDescent="0.45">
      <c r="A19" t="str">
        <f>VLOOKUP(C19,'Field Layout'!$B$9:$AJ$35,MATCH(Index!B19,'Field Layout'!$B$8:$AJ$8,0),FALSE)</f>
        <v>Border</v>
      </c>
      <c r="B19">
        <v>1</v>
      </c>
      <c r="C19">
        <v>18</v>
      </c>
      <c r="D19">
        <v>150</v>
      </c>
      <c r="E19" t="s">
        <v>54</v>
      </c>
      <c r="F19" t="s">
        <v>92</v>
      </c>
      <c r="G19" t="s">
        <v>99</v>
      </c>
    </row>
    <row r="20" spans="1:7" x14ac:dyDescent="0.45">
      <c r="A20" t="str">
        <f>VLOOKUP(C20,'Field Layout'!$B$9:$AJ$35,MATCH(Index!B20,'Field Layout'!$B$8:$AJ$8,0),FALSE)</f>
        <v>Border</v>
      </c>
      <c r="B20">
        <v>1</v>
      </c>
      <c r="C20">
        <v>19</v>
      </c>
      <c r="D20">
        <v>150</v>
      </c>
      <c r="E20" t="s">
        <v>54</v>
      </c>
      <c r="F20" t="s">
        <v>92</v>
      </c>
      <c r="G20" t="s">
        <v>99</v>
      </c>
    </row>
    <row r="21" spans="1:7" x14ac:dyDescent="0.45">
      <c r="A21" t="str">
        <f>VLOOKUP(C21,'Field Layout'!$B$9:$AJ$35,MATCH(Index!B21,'Field Layout'!$B$8:$AJ$8,0),FALSE)</f>
        <v>Border</v>
      </c>
      <c r="B21">
        <v>1</v>
      </c>
      <c r="C21">
        <v>20</v>
      </c>
      <c r="D21">
        <v>150</v>
      </c>
      <c r="E21" t="s">
        <v>54</v>
      </c>
      <c r="F21" t="s">
        <v>92</v>
      </c>
      <c r="G21" t="s">
        <v>99</v>
      </c>
    </row>
    <row r="22" spans="1:7" x14ac:dyDescent="0.45">
      <c r="A22" t="str">
        <f>VLOOKUP(C22,'Field Layout'!$B$9:$AJ$35,MATCH(Index!B22,'Field Layout'!$B$8:$AJ$8,0),FALSE)</f>
        <v>Border</v>
      </c>
      <c r="B22">
        <v>1</v>
      </c>
      <c r="C22">
        <v>21</v>
      </c>
      <c r="D22">
        <v>150</v>
      </c>
      <c r="E22" t="s">
        <v>54</v>
      </c>
      <c r="F22" t="s">
        <v>92</v>
      </c>
      <c r="G22" t="s">
        <v>99</v>
      </c>
    </row>
    <row r="23" spans="1:7" x14ac:dyDescent="0.45">
      <c r="A23" t="str">
        <f>VLOOKUP(C23,'Field Layout'!$B$9:$AJ$35,MATCH(Index!B23,'Field Layout'!$B$8:$AJ$8,0),FALSE)</f>
        <v>Border</v>
      </c>
      <c r="B23">
        <v>1</v>
      </c>
      <c r="C23">
        <v>22</v>
      </c>
      <c r="D23">
        <v>150</v>
      </c>
      <c r="E23" t="s">
        <v>54</v>
      </c>
      <c r="F23" t="s">
        <v>92</v>
      </c>
      <c r="G23" t="s">
        <v>99</v>
      </c>
    </row>
    <row r="24" spans="1:7" x14ac:dyDescent="0.45">
      <c r="A24" t="str">
        <f>VLOOKUP(C24,'Field Layout'!$B$9:$AJ$35,MATCH(Index!B24,'Field Layout'!$B$8:$AJ$8,0),FALSE)</f>
        <v>Border</v>
      </c>
      <c r="B24">
        <v>1</v>
      </c>
      <c r="C24">
        <v>23</v>
      </c>
      <c r="D24">
        <v>150</v>
      </c>
      <c r="E24" t="s">
        <v>54</v>
      </c>
      <c r="F24" t="s">
        <v>92</v>
      </c>
      <c r="G24" t="s">
        <v>99</v>
      </c>
    </row>
    <row r="25" spans="1:7" x14ac:dyDescent="0.45">
      <c r="A25" t="str">
        <f>VLOOKUP(C25,'Field Layout'!$B$9:$AJ$35,MATCH(Index!B25,'Field Layout'!$B$8:$AJ$8,0),FALSE)</f>
        <v>Border</v>
      </c>
      <c r="B25">
        <v>1</v>
      </c>
      <c r="C25">
        <v>24</v>
      </c>
      <c r="D25">
        <v>150</v>
      </c>
      <c r="E25" t="s">
        <v>54</v>
      </c>
      <c r="F25" t="s">
        <v>92</v>
      </c>
      <c r="G25" t="s">
        <v>99</v>
      </c>
    </row>
    <row r="26" spans="1:7" x14ac:dyDescent="0.45">
      <c r="A26" t="str">
        <f>VLOOKUP(C26,'Field Layout'!$B$9:$AJ$35,MATCH(Index!B26,'Field Layout'!$B$8:$AJ$8,0),FALSE)</f>
        <v>Border</v>
      </c>
      <c r="B26">
        <v>1</v>
      </c>
      <c r="C26">
        <v>25</v>
      </c>
      <c r="D26">
        <v>150</v>
      </c>
      <c r="E26" t="s">
        <v>54</v>
      </c>
      <c r="F26" t="s">
        <v>92</v>
      </c>
      <c r="G26" t="s">
        <v>99</v>
      </c>
    </row>
    <row r="27" spans="1:7" x14ac:dyDescent="0.45">
      <c r="A27" t="str">
        <f>VLOOKUP(C27,'Field Layout'!$B$9:$AJ$35,MATCH(Index!B27,'Field Layout'!$B$8:$AJ$8,0),FALSE)</f>
        <v>Border</v>
      </c>
      <c r="B27">
        <v>1</v>
      </c>
      <c r="C27">
        <v>26</v>
      </c>
      <c r="D27">
        <v>150</v>
      </c>
      <c r="E27" t="s">
        <v>54</v>
      </c>
      <c r="F27" t="s">
        <v>92</v>
      </c>
      <c r="G27" t="s">
        <v>99</v>
      </c>
    </row>
    <row r="28" spans="1:7" x14ac:dyDescent="0.45">
      <c r="A28" t="str">
        <f>VLOOKUP(C28,'Field Layout'!$B$9:$AJ$35,MATCH(Index!B28,'Field Layout'!$B$8:$AJ$8,0),FALSE)</f>
        <v>Border</v>
      </c>
      <c r="B28">
        <v>1</v>
      </c>
      <c r="C28">
        <v>27</v>
      </c>
      <c r="D28">
        <v>150</v>
      </c>
      <c r="E28" t="s">
        <v>54</v>
      </c>
      <c r="F28" t="s">
        <v>92</v>
      </c>
      <c r="G28" t="s">
        <v>99</v>
      </c>
    </row>
    <row r="29" spans="1:7" x14ac:dyDescent="0.45">
      <c r="A29" t="str">
        <f>VLOOKUP(C29,'Field Layout'!$B$9:$AJ$35,MATCH(Index!B29,'Field Layout'!$B$8:$AJ$8,0),FALSE)</f>
        <v>Border</v>
      </c>
      <c r="B29">
        <v>2</v>
      </c>
      <c r="C29">
        <v>1</v>
      </c>
      <c r="D29">
        <v>150</v>
      </c>
      <c r="E29" t="s">
        <v>54</v>
      </c>
      <c r="F29" t="s">
        <v>92</v>
      </c>
      <c r="G29" t="s">
        <v>99</v>
      </c>
    </row>
    <row r="30" spans="1:7" x14ac:dyDescent="0.45">
      <c r="A30">
        <f>VLOOKUP(C30,'Field Layout'!$B$9:$AJ$35,MATCH(Index!B30,'Field Layout'!$B$8:$AJ$8,0),FALSE)</f>
        <v>1001</v>
      </c>
      <c r="B30">
        <v>2</v>
      </c>
      <c r="C30">
        <v>2</v>
      </c>
      <c r="D30">
        <v>150</v>
      </c>
      <c r="E30">
        <v>1</v>
      </c>
      <c r="F30" t="s">
        <v>100</v>
      </c>
      <c r="G30" t="s">
        <v>101</v>
      </c>
    </row>
    <row r="31" spans="1:7" x14ac:dyDescent="0.45">
      <c r="A31">
        <f>VLOOKUP(C31,'Field Layout'!$B$9:$AJ$35,MATCH(Index!B31,'Field Layout'!$B$8:$AJ$8,0),FALSE)</f>
        <v>1017</v>
      </c>
      <c r="B31">
        <v>2</v>
      </c>
      <c r="C31">
        <v>3</v>
      </c>
      <c r="D31">
        <v>150</v>
      </c>
      <c r="E31">
        <v>1</v>
      </c>
      <c r="F31" t="s">
        <v>102</v>
      </c>
      <c r="G31" t="s">
        <v>103</v>
      </c>
    </row>
    <row r="32" spans="1:7" x14ac:dyDescent="0.45">
      <c r="A32">
        <f>VLOOKUP(C32,'Field Layout'!$B$9:$AJ$35,MATCH(Index!B32,'Field Layout'!$B$8:$AJ$8,0),FALSE)</f>
        <v>1033</v>
      </c>
      <c r="B32">
        <v>2</v>
      </c>
      <c r="C32">
        <v>4</v>
      </c>
      <c r="D32">
        <v>150</v>
      </c>
      <c r="E32">
        <v>1</v>
      </c>
      <c r="F32" t="s">
        <v>104</v>
      </c>
      <c r="G32" t="s">
        <v>105</v>
      </c>
    </row>
    <row r="33" spans="1:7" x14ac:dyDescent="0.45">
      <c r="A33">
        <f>VLOOKUP(C33,'Field Layout'!$B$9:$AJ$35,MATCH(Index!B33,'Field Layout'!$B$8:$AJ$8,0),FALSE)</f>
        <v>1049</v>
      </c>
      <c r="B33">
        <v>2</v>
      </c>
      <c r="C33">
        <v>5</v>
      </c>
      <c r="D33">
        <v>150</v>
      </c>
      <c r="E33">
        <v>1</v>
      </c>
      <c r="F33" t="s">
        <v>106</v>
      </c>
      <c r="G33" t="s">
        <v>107</v>
      </c>
    </row>
    <row r="34" spans="1:7" x14ac:dyDescent="0.45">
      <c r="A34">
        <f>VLOOKUP(C34,'Field Layout'!$B$9:$AJ$35,MATCH(Index!B34,'Field Layout'!$B$8:$AJ$8,0),FALSE)</f>
        <v>1065</v>
      </c>
      <c r="B34">
        <v>2</v>
      </c>
      <c r="C34">
        <v>6</v>
      </c>
      <c r="D34">
        <v>150</v>
      </c>
      <c r="E34">
        <v>1</v>
      </c>
      <c r="F34" t="s">
        <v>108</v>
      </c>
      <c r="G34" t="s">
        <v>109</v>
      </c>
    </row>
    <row r="35" spans="1:7" x14ac:dyDescent="0.45">
      <c r="A35">
        <f>VLOOKUP(C35,'Field Layout'!$B$9:$AJ$35,MATCH(Index!B35,'Field Layout'!$B$8:$AJ$8,0),FALSE)</f>
        <v>1081</v>
      </c>
      <c r="B35">
        <v>2</v>
      </c>
      <c r="C35">
        <v>7</v>
      </c>
      <c r="D35">
        <v>150</v>
      </c>
      <c r="E35">
        <v>1</v>
      </c>
      <c r="F35" t="s">
        <v>110</v>
      </c>
      <c r="G35" t="s">
        <v>111</v>
      </c>
    </row>
    <row r="36" spans="1:7" x14ac:dyDescent="0.45">
      <c r="A36">
        <f>VLOOKUP(C36,'Field Layout'!$B$9:$AJ$35,MATCH(Index!B36,'Field Layout'!$B$8:$AJ$8,0),FALSE)</f>
        <v>1097</v>
      </c>
      <c r="B36">
        <v>2</v>
      </c>
      <c r="C36">
        <v>8</v>
      </c>
      <c r="D36">
        <v>150</v>
      </c>
      <c r="E36">
        <v>1</v>
      </c>
      <c r="F36" t="s">
        <v>112</v>
      </c>
      <c r="G36" t="s">
        <v>113</v>
      </c>
    </row>
    <row r="37" spans="1:7" x14ac:dyDescent="0.45">
      <c r="A37">
        <f>VLOOKUP(C37,'Field Layout'!$B$9:$AJ$35,MATCH(Index!B37,'Field Layout'!$B$8:$AJ$8,0),FALSE)</f>
        <v>1113</v>
      </c>
      <c r="B37">
        <v>2</v>
      </c>
      <c r="C37">
        <v>9</v>
      </c>
      <c r="D37">
        <v>150</v>
      </c>
      <c r="E37">
        <v>1</v>
      </c>
      <c r="F37" t="s">
        <v>114</v>
      </c>
      <c r="G37" t="s">
        <v>115</v>
      </c>
    </row>
    <row r="38" spans="1:7" x14ac:dyDescent="0.45">
      <c r="A38">
        <f>VLOOKUP(C38,'Field Layout'!$B$9:$AJ$35,MATCH(Index!B38,'Field Layout'!$B$8:$AJ$8,0),FALSE)</f>
        <v>1129</v>
      </c>
      <c r="B38">
        <v>2</v>
      </c>
      <c r="C38">
        <v>10</v>
      </c>
      <c r="D38">
        <v>150</v>
      </c>
      <c r="E38">
        <v>1</v>
      </c>
      <c r="F38" t="s">
        <v>116</v>
      </c>
      <c r="G38" t="s">
        <v>117</v>
      </c>
    </row>
    <row r="39" spans="1:7" x14ac:dyDescent="0.45">
      <c r="A39">
        <f>VLOOKUP(C39,'Field Layout'!$B$9:$AJ$35,MATCH(Index!B39,'Field Layout'!$B$8:$AJ$8,0),FALSE)</f>
        <v>1145</v>
      </c>
      <c r="B39">
        <v>2</v>
      </c>
      <c r="C39">
        <v>11</v>
      </c>
      <c r="D39">
        <v>150</v>
      </c>
      <c r="E39">
        <v>1</v>
      </c>
      <c r="F39" t="s">
        <v>118</v>
      </c>
      <c r="G39" t="s">
        <v>119</v>
      </c>
    </row>
    <row r="40" spans="1:7" x14ac:dyDescent="0.45">
      <c r="A40">
        <f>VLOOKUP(C40,'Field Layout'!$B$9:$AJ$35,MATCH(Index!B40,'Field Layout'!$B$8:$AJ$8,0),FALSE)</f>
        <v>1161</v>
      </c>
      <c r="B40">
        <v>2</v>
      </c>
      <c r="C40">
        <v>12</v>
      </c>
      <c r="D40">
        <v>150</v>
      </c>
      <c r="E40">
        <v>1</v>
      </c>
      <c r="F40" t="s">
        <v>120</v>
      </c>
      <c r="G40" t="s">
        <v>121</v>
      </c>
    </row>
    <row r="41" spans="1:7" x14ac:dyDescent="0.45">
      <c r="A41">
        <f>VLOOKUP(C41,'Field Layout'!$B$9:$AJ$35,MATCH(Index!B41,'Field Layout'!$B$8:$AJ$8,0),FALSE)</f>
        <v>1177</v>
      </c>
      <c r="B41">
        <v>2</v>
      </c>
      <c r="C41">
        <v>13</v>
      </c>
      <c r="D41">
        <v>150</v>
      </c>
      <c r="E41">
        <v>1</v>
      </c>
      <c r="F41" t="s">
        <v>122</v>
      </c>
      <c r="G41" t="s">
        <v>123</v>
      </c>
    </row>
    <row r="42" spans="1:7" x14ac:dyDescent="0.45">
      <c r="A42">
        <f>VLOOKUP(C42,'Field Layout'!$B$9:$AJ$35,MATCH(Index!B42,'Field Layout'!$B$8:$AJ$8,0),FALSE)</f>
        <v>1193</v>
      </c>
      <c r="B42">
        <v>2</v>
      </c>
      <c r="C42">
        <v>14</v>
      </c>
      <c r="D42">
        <v>150</v>
      </c>
      <c r="E42">
        <v>1</v>
      </c>
      <c r="F42" t="s">
        <v>124</v>
      </c>
      <c r="G42" t="s">
        <v>125</v>
      </c>
    </row>
    <row r="43" spans="1:7" x14ac:dyDescent="0.45">
      <c r="A43">
        <f>VLOOKUP(C43,'Field Layout'!$B$9:$AJ$35,MATCH(Index!B43,'Field Layout'!$B$8:$AJ$8,0),FALSE)</f>
        <v>1209</v>
      </c>
      <c r="B43">
        <v>2</v>
      </c>
      <c r="C43">
        <v>15</v>
      </c>
      <c r="D43">
        <v>150</v>
      </c>
      <c r="E43">
        <v>1</v>
      </c>
      <c r="F43" t="s">
        <v>126</v>
      </c>
      <c r="G43" t="s">
        <v>127</v>
      </c>
    </row>
    <row r="44" spans="1:7" x14ac:dyDescent="0.45">
      <c r="A44">
        <f>VLOOKUP(C44,'Field Layout'!$B$9:$AJ$35,MATCH(Index!B44,'Field Layout'!$B$8:$AJ$8,0),FALSE)</f>
        <v>1225</v>
      </c>
      <c r="B44">
        <v>2</v>
      </c>
      <c r="C44">
        <v>16</v>
      </c>
      <c r="D44">
        <v>150</v>
      </c>
      <c r="E44">
        <v>1</v>
      </c>
      <c r="F44" t="s">
        <v>128</v>
      </c>
      <c r="G44" t="s">
        <v>129</v>
      </c>
    </row>
    <row r="45" spans="1:7" x14ac:dyDescent="0.45">
      <c r="A45">
        <f>VLOOKUP(C45,'Field Layout'!$B$9:$AJ$35,MATCH(Index!B45,'Field Layout'!$B$8:$AJ$8,0),FALSE)</f>
        <v>1241</v>
      </c>
      <c r="B45">
        <v>2</v>
      </c>
      <c r="C45">
        <v>17</v>
      </c>
      <c r="D45">
        <v>150</v>
      </c>
      <c r="E45">
        <v>1</v>
      </c>
      <c r="F45" t="s">
        <v>130</v>
      </c>
      <c r="G45" t="s">
        <v>131</v>
      </c>
    </row>
    <row r="46" spans="1:7" x14ac:dyDescent="0.45">
      <c r="A46">
        <f>VLOOKUP(C46,'Field Layout'!$B$9:$AJ$35,MATCH(Index!B46,'Field Layout'!$B$8:$AJ$8,0),FALSE)</f>
        <v>1257</v>
      </c>
      <c r="B46">
        <v>2</v>
      </c>
      <c r="C46">
        <v>18</v>
      </c>
      <c r="D46">
        <v>150</v>
      </c>
      <c r="E46">
        <v>1</v>
      </c>
      <c r="F46" t="s">
        <v>132</v>
      </c>
      <c r="G46" t="s">
        <v>133</v>
      </c>
    </row>
    <row r="47" spans="1:7" x14ac:dyDescent="0.45">
      <c r="A47">
        <f>VLOOKUP(C47,'Field Layout'!$B$9:$AJ$35,MATCH(Index!B47,'Field Layout'!$B$8:$AJ$8,0),FALSE)</f>
        <v>1273</v>
      </c>
      <c r="B47">
        <v>2</v>
      </c>
      <c r="C47">
        <v>19</v>
      </c>
      <c r="D47">
        <v>150</v>
      </c>
      <c r="E47">
        <v>1</v>
      </c>
      <c r="F47" t="s">
        <v>134</v>
      </c>
      <c r="G47" t="s">
        <v>135</v>
      </c>
    </row>
    <row r="48" spans="1:7" x14ac:dyDescent="0.45">
      <c r="A48">
        <f>VLOOKUP(C48,'Field Layout'!$B$9:$AJ$35,MATCH(Index!B48,'Field Layout'!$B$8:$AJ$8,0),FALSE)</f>
        <v>1289</v>
      </c>
      <c r="B48">
        <v>2</v>
      </c>
      <c r="C48">
        <v>20</v>
      </c>
      <c r="D48">
        <v>150</v>
      </c>
      <c r="E48">
        <v>1</v>
      </c>
      <c r="F48" t="s">
        <v>136</v>
      </c>
      <c r="G48" t="s">
        <v>137</v>
      </c>
    </row>
    <row r="49" spans="1:7" x14ac:dyDescent="0.45">
      <c r="A49">
        <f>VLOOKUP(C49,'Field Layout'!$B$9:$AJ$35,MATCH(Index!B49,'Field Layout'!$B$8:$AJ$8,0),FALSE)</f>
        <v>1305</v>
      </c>
      <c r="B49">
        <v>2</v>
      </c>
      <c r="C49">
        <v>21</v>
      </c>
      <c r="D49">
        <v>150</v>
      </c>
      <c r="E49">
        <v>1</v>
      </c>
      <c r="F49" t="s">
        <v>138</v>
      </c>
      <c r="G49" t="s">
        <v>139</v>
      </c>
    </row>
    <row r="50" spans="1:7" x14ac:dyDescent="0.45">
      <c r="A50">
        <f>VLOOKUP(C50,'Field Layout'!$B$9:$AJ$35,MATCH(Index!B50,'Field Layout'!$B$8:$AJ$8,0),FALSE)</f>
        <v>1321</v>
      </c>
      <c r="B50">
        <v>2</v>
      </c>
      <c r="C50">
        <v>22</v>
      </c>
      <c r="D50">
        <v>150</v>
      </c>
      <c r="E50">
        <v>1</v>
      </c>
      <c r="F50" t="s">
        <v>140</v>
      </c>
      <c r="G50" t="s">
        <v>141</v>
      </c>
    </row>
    <row r="51" spans="1:7" x14ac:dyDescent="0.45">
      <c r="A51">
        <f>VLOOKUP(C51,'Field Layout'!$B$9:$AJ$35,MATCH(Index!B51,'Field Layout'!$B$8:$AJ$8,0),FALSE)</f>
        <v>1337</v>
      </c>
      <c r="B51">
        <v>2</v>
      </c>
      <c r="C51">
        <v>23</v>
      </c>
      <c r="D51">
        <v>150</v>
      </c>
      <c r="E51">
        <v>1</v>
      </c>
      <c r="F51" t="s">
        <v>142</v>
      </c>
      <c r="G51" t="s">
        <v>143</v>
      </c>
    </row>
    <row r="52" spans="1:7" x14ac:dyDescent="0.45">
      <c r="A52">
        <f>VLOOKUP(C52,'Field Layout'!$B$9:$AJ$35,MATCH(Index!B52,'Field Layout'!$B$8:$AJ$8,0),FALSE)</f>
        <v>1353</v>
      </c>
      <c r="B52">
        <v>2</v>
      </c>
      <c r="C52">
        <v>24</v>
      </c>
      <c r="D52">
        <v>150</v>
      </c>
      <c r="E52">
        <v>1</v>
      </c>
      <c r="F52" t="s">
        <v>144</v>
      </c>
      <c r="G52" t="s">
        <v>145</v>
      </c>
    </row>
    <row r="53" spans="1:7" x14ac:dyDescent="0.45">
      <c r="A53">
        <f>VLOOKUP(C53,'Field Layout'!$B$9:$AJ$35,MATCH(Index!B53,'Field Layout'!$B$8:$AJ$8,0),FALSE)</f>
        <v>1369</v>
      </c>
      <c r="B53">
        <v>2</v>
      </c>
      <c r="C53">
        <v>25</v>
      </c>
      <c r="D53">
        <v>150</v>
      </c>
      <c r="E53">
        <v>1</v>
      </c>
      <c r="F53" t="s">
        <v>146</v>
      </c>
      <c r="G53" t="s">
        <v>119</v>
      </c>
    </row>
    <row r="54" spans="1:7" x14ac:dyDescent="0.45">
      <c r="A54">
        <f>VLOOKUP(C54,'Field Layout'!$B$9:$AJ$35,MATCH(Index!B54,'Field Layout'!$B$8:$AJ$8,0),FALSE)</f>
        <v>1385</v>
      </c>
      <c r="B54">
        <v>2</v>
      </c>
      <c r="C54">
        <v>26</v>
      </c>
      <c r="D54">
        <v>150</v>
      </c>
      <c r="E54">
        <v>1</v>
      </c>
      <c r="F54" t="s">
        <v>118</v>
      </c>
      <c r="G54" t="s">
        <v>119</v>
      </c>
    </row>
    <row r="55" spans="1:7" x14ac:dyDescent="0.45">
      <c r="A55" t="str">
        <f>VLOOKUP(C55,'Field Layout'!$B$9:$AJ$35,MATCH(Index!B55,'Field Layout'!$B$8:$AJ$8,0),FALSE)</f>
        <v>Border</v>
      </c>
      <c r="B55">
        <v>2</v>
      </c>
      <c r="C55">
        <v>27</v>
      </c>
      <c r="D55">
        <v>150</v>
      </c>
      <c r="E55" t="s">
        <v>54</v>
      </c>
      <c r="F55" t="s">
        <v>92</v>
      </c>
      <c r="G55" t="s">
        <v>99</v>
      </c>
    </row>
    <row r="56" spans="1:7" x14ac:dyDescent="0.45">
      <c r="A56" t="str">
        <f>VLOOKUP(C56,'Field Layout'!$B$9:$AJ$35,MATCH(Index!B56,'Field Layout'!$B$8:$AJ$8,0),FALSE)</f>
        <v>Border</v>
      </c>
      <c r="B56">
        <v>3</v>
      </c>
      <c r="C56">
        <v>1</v>
      </c>
      <c r="D56">
        <v>150</v>
      </c>
      <c r="E56" t="s">
        <v>54</v>
      </c>
      <c r="F56" t="s">
        <v>92</v>
      </c>
      <c r="G56" t="s">
        <v>99</v>
      </c>
    </row>
    <row r="57" spans="1:7" x14ac:dyDescent="0.45">
      <c r="A57">
        <f>VLOOKUP(C57,'Field Layout'!$B$9:$AJ$35,MATCH(Index!B57,'Field Layout'!$B$8:$AJ$8,0),FALSE)</f>
        <v>1002</v>
      </c>
      <c r="B57">
        <v>3</v>
      </c>
      <c r="C57">
        <v>2</v>
      </c>
      <c r="D57">
        <v>150</v>
      </c>
      <c r="E57">
        <v>1</v>
      </c>
      <c r="F57" t="s">
        <v>147</v>
      </c>
      <c r="G57" t="s">
        <v>148</v>
      </c>
    </row>
    <row r="58" spans="1:7" x14ac:dyDescent="0.45">
      <c r="A58">
        <f>VLOOKUP(C58,'Field Layout'!$B$9:$AJ$35,MATCH(Index!B58,'Field Layout'!$B$8:$AJ$8,0),FALSE)</f>
        <v>1018</v>
      </c>
      <c r="B58">
        <v>3</v>
      </c>
      <c r="C58">
        <v>3</v>
      </c>
      <c r="D58">
        <v>150</v>
      </c>
      <c r="E58">
        <v>1</v>
      </c>
      <c r="F58" t="s">
        <v>149</v>
      </c>
      <c r="G58" t="s">
        <v>150</v>
      </c>
    </row>
    <row r="59" spans="1:7" x14ac:dyDescent="0.45">
      <c r="A59">
        <f>VLOOKUP(C59,'Field Layout'!$B$9:$AJ$35,MATCH(Index!B59,'Field Layout'!$B$8:$AJ$8,0),FALSE)</f>
        <v>1034</v>
      </c>
      <c r="B59">
        <v>3</v>
      </c>
      <c r="C59">
        <v>4</v>
      </c>
      <c r="D59">
        <v>150</v>
      </c>
      <c r="E59">
        <v>1</v>
      </c>
      <c r="F59" t="s">
        <v>151</v>
      </c>
      <c r="G59" t="s">
        <v>152</v>
      </c>
    </row>
    <row r="60" spans="1:7" x14ac:dyDescent="0.45">
      <c r="A60">
        <f>VLOOKUP(C60,'Field Layout'!$B$9:$AJ$35,MATCH(Index!B60,'Field Layout'!$B$8:$AJ$8,0),FALSE)</f>
        <v>1050</v>
      </c>
      <c r="B60">
        <v>3</v>
      </c>
      <c r="C60">
        <v>5</v>
      </c>
      <c r="D60">
        <v>150</v>
      </c>
      <c r="E60">
        <v>1</v>
      </c>
      <c r="F60" t="s">
        <v>118</v>
      </c>
      <c r="G60" t="s">
        <v>119</v>
      </c>
    </row>
    <row r="61" spans="1:7" x14ac:dyDescent="0.45">
      <c r="A61">
        <f>VLOOKUP(C61,'Field Layout'!$B$9:$AJ$35,MATCH(Index!B61,'Field Layout'!$B$8:$AJ$8,0),FALSE)</f>
        <v>1066</v>
      </c>
      <c r="B61">
        <v>3</v>
      </c>
      <c r="C61">
        <v>6</v>
      </c>
      <c r="D61">
        <v>150</v>
      </c>
      <c r="E61">
        <v>1</v>
      </c>
      <c r="F61" t="s">
        <v>153</v>
      </c>
      <c r="G61" t="s">
        <v>154</v>
      </c>
    </row>
    <row r="62" spans="1:7" x14ac:dyDescent="0.45">
      <c r="A62">
        <f>VLOOKUP(C62,'Field Layout'!$B$9:$AJ$35,MATCH(Index!B62,'Field Layout'!$B$8:$AJ$8,0),FALSE)</f>
        <v>1082</v>
      </c>
      <c r="B62">
        <v>3</v>
      </c>
      <c r="C62">
        <v>7</v>
      </c>
      <c r="D62">
        <v>150</v>
      </c>
      <c r="E62">
        <v>1</v>
      </c>
      <c r="F62" t="s">
        <v>155</v>
      </c>
      <c r="G62" t="s">
        <v>156</v>
      </c>
    </row>
    <row r="63" spans="1:7" x14ac:dyDescent="0.45">
      <c r="A63">
        <f>VLOOKUP(C63,'Field Layout'!$B$9:$AJ$35,MATCH(Index!B63,'Field Layout'!$B$8:$AJ$8,0),FALSE)</f>
        <v>1098</v>
      </c>
      <c r="B63">
        <v>3</v>
      </c>
      <c r="C63">
        <v>8</v>
      </c>
      <c r="D63">
        <v>150</v>
      </c>
      <c r="E63">
        <v>1</v>
      </c>
      <c r="F63" t="s">
        <v>118</v>
      </c>
      <c r="G63" t="s">
        <v>119</v>
      </c>
    </row>
    <row r="64" spans="1:7" x14ac:dyDescent="0.45">
      <c r="A64">
        <f>VLOOKUP(C64,'Field Layout'!$B$9:$AJ$35,MATCH(Index!B64,'Field Layout'!$B$8:$AJ$8,0),FALSE)</f>
        <v>1114</v>
      </c>
      <c r="B64">
        <v>3</v>
      </c>
      <c r="C64">
        <v>9</v>
      </c>
      <c r="D64">
        <v>150</v>
      </c>
      <c r="E64">
        <v>1</v>
      </c>
      <c r="F64" t="s">
        <v>118</v>
      </c>
      <c r="G64" t="s">
        <v>119</v>
      </c>
    </row>
    <row r="65" spans="1:7" x14ac:dyDescent="0.45">
      <c r="A65">
        <f>VLOOKUP(C65,'Field Layout'!$B$9:$AJ$35,MATCH(Index!B65,'Field Layout'!$B$8:$AJ$8,0),FALSE)</f>
        <v>1130</v>
      </c>
      <c r="B65">
        <v>3</v>
      </c>
      <c r="C65">
        <v>10</v>
      </c>
      <c r="D65">
        <v>150</v>
      </c>
      <c r="E65">
        <v>1</v>
      </c>
      <c r="F65" t="s">
        <v>157</v>
      </c>
      <c r="G65" t="s">
        <v>158</v>
      </c>
    </row>
    <row r="66" spans="1:7" x14ac:dyDescent="0.45">
      <c r="A66">
        <f>VLOOKUP(C66,'Field Layout'!$B$9:$AJ$35,MATCH(Index!B66,'Field Layout'!$B$8:$AJ$8,0),FALSE)</f>
        <v>1146</v>
      </c>
      <c r="B66">
        <v>3</v>
      </c>
      <c r="C66">
        <v>11</v>
      </c>
      <c r="D66">
        <v>150</v>
      </c>
      <c r="E66">
        <v>1</v>
      </c>
      <c r="F66" t="s">
        <v>159</v>
      </c>
      <c r="G66" t="s">
        <v>160</v>
      </c>
    </row>
    <row r="67" spans="1:7" x14ac:dyDescent="0.45">
      <c r="A67">
        <f>VLOOKUP(C67,'Field Layout'!$B$9:$AJ$35,MATCH(Index!B67,'Field Layout'!$B$8:$AJ$8,0),FALSE)</f>
        <v>1162</v>
      </c>
      <c r="B67">
        <v>3</v>
      </c>
      <c r="C67">
        <v>12</v>
      </c>
      <c r="D67">
        <v>150</v>
      </c>
      <c r="E67">
        <v>1</v>
      </c>
      <c r="F67" t="s">
        <v>161</v>
      </c>
      <c r="G67" t="s">
        <v>162</v>
      </c>
    </row>
    <row r="68" spans="1:7" x14ac:dyDescent="0.45">
      <c r="A68">
        <f>VLOOKUP(C68,'Field Layout'!$B$9:$AJ$35,MATCH(Index!B68,'Field Layout'!$B$8:$AJ$8,0),FALSE)</f>
        <v>1178</v>
      </c>
      <c r="B68">
        <v>3</v>
      </c>
      <c r="C68">
        <v>13</v>
      </c>
      <c r="D68">
        <v>150</v>
      </c>
      <c r="E68">
        <v>1</v>
      </c>
      <c r="F68" t="s">
        <v>163</v>
      </c>
      <c r="G68" t="s">
        <v>164</v>
      </c>
    </row>
    <row r="69" spans="1:7" x14ac:dyDescent="0.45">
      <c r="A69">
        <f>VLOOKUP(C69,'Field Layout'!$B$9:$AJ$35,MATCH(Index!B69,'Field Layout'!$B$8:$AJ$8,0),FALSE)</f>
        <v>1194</v>
      </c>
      <c r="B69">
        <v>3</v>
      </c>
      <c r="C69">
        <v>14</v>
      </c>
      <c r="D69">
        <v>150</v>
      </c>
      <c r="E69">
        <v>1</v>
      </c>
      <c r="F69" t="s">
        <v>165</v>
      </c>
      <c r="G69" t="s">
        <v>166</v>
      </c>
    </row>
    <row r="70" spans="1:7" x14ac:dyDescent="0.45">
      <c r="A70">
        <f>VLOOKUP(C70,'Field Layout'!$B$9:$AJ$35,MATCH(Index!B70,'Field Layout'!$B$8:$AJ$8,0),FALSE)</f>
        <v>1210</v>
      </c>
      <c r="B70">
        <v>3</v>
      </c>
      <c r="C70">
        <v>15</v>
      </c>
      <c r="D70">
        <v>150</v>
      </c>
      <c r="E70">
        <v>1</v>
      </c>
      <c r="F70" t="s">
        <v>167</v>
      </c>
      <c r="G70" t="s">
        <v>168</v>
      </c>
    </row>
    <row r="71" spans="1:7" x14ac:dyDescent="0.45">
      <c r="A71">
        <f>VLOOKUP(C71,'Field Layout'!$B$9:$AJ$35,MATCH(Index!B71,'Field Layout'!$B$8:$AJ$8,0),FALSE)</f>
        <v>1226</v>
      </c>
      <c r="B71">
        <v>3</v>
      </c>
      <c r="C71">
        <v>16</v>
      </c>
      <c r="D71">
        <v>150</v>
      </c>
      <c r="E71">
        <v>1</v>
      </c>
      <c r="F71" t="s">
        <v>169</v>
      </c>
      <c r="G71" t="s">
        <v>170</v>
      </c>
    </row>
    <row r="72" spans="1:7" x14ac:dyDescent="0.45">
      <c r="A72">
        <f>VLOOKUP(C72,'Field Layout'!$B$9:$AJ$35,MATCH(Index!B72,'Field Layout'!$B$8:$AJ$8,0),FALSE)</f>
        <v>1242</v>
      </c>
      <c r="B72">
        <v>3</v>
      </c>
      <c r="C72">
        <v>17</v>
      </c>
      <c r="D72">
        <v>150</v>
      </c>
      <c r="E72">
        <v>1</v>
      </c>
      <c r="F72" t="s">
        <v>118</v>
      </c>
      <c r="G72" t="s">
        <v>119</v>
      </c>
    </row>
    <row r="73" spans="1:7" x14ac:dyDescent="0.45">
      <c r="A73">
        <f>VLOOKUP(C73,'Field Layout'!$B$9:$AJ$35,MATCH(Index!B73,'Field Layout'!$B$8:$AJ$8,0),FALSE)</f>
        <v>1258</v>
      </c>
      <c r="B73">
        <v>3</v>
      </c>
      <c r="C73">
        <v>18</v>
      </c>
      <c r="D73">
        <v>150</v>
      </c>
      <c r="E73">
        <v>1</v>
      </c>
      <c r="F73" t="s">
        <v>171</v>
      </c>
      <c r="G73" t="s">
        <v>172</v>
      </c>
    </row>
    <row r="74" spans="1:7" x14ac:dyDescent="0.45">
      <c r="A74">
        <f>VLOOKUP(C74,'Field Layout'!$B$9:$AJ$35,MATCH(Index!B74,'Field Layout'!$B$8:$AJ$8,0),FALSE)</f>
        <v>1274</v>
      </c>
      <c r="B74">
        <v>3</v>
      </c>
      <c r="C74">
        <v>19</v>
      </c>
      <c r="D74">
        <v>150</v>
      </c>
      <c r="E74">
        <v>1</v>
      </c>
      <c r="F74" t="s">
        <v>173</v>
      </c>
      <c r="G74" t="s">
        <v>174</v>
      </c>
    </row>
    <row r="75" spans="1:7" x14ac:dyDescent="0.45">
      <c r="A75">
        <f>VLOOKUP(C75,'Field Layout'!$B$9:$AJ$35,MATCH(Index!B75,'Field Layout'!$B$8:$AJ$8,0),FALSE)</f>
        <v>1290</v>
      </c>
      <c r="B75">
        <v>3</v>
      </c>
      <c r="C75">
        <v>20</v>
      </c>
      <c r="D75">
        <v>150</v>
      </c>
      <c r="E75">
        <v>1</v>
      </c>
      <c r="F75" t="s">
        <v>175</v>
      </c>
      <c r="G75" t="s">
        <v>176</v>
      </c>
    </row>
    <row r="76" spans="1:7" x14ac:dyDescent="0.45">
      <c r="A76">
        <f>VLOOKUP(C76,'Field Layout'!$B$9:$AJ$35,MATCH(Index!B76,'Field Layout'!$B$8:$AJ$8,0),FALSE)</f>
        <v>1306</v>
      </c>
      <c r="B76">
        <v>3</v>
      </c>
      <c r="C76">
        <v>21</v>
      </c>
      <c r="D76">
        <v>150</v>
      </c>
      <c r="E76">
        <v>1</v>
      </c>
      <c r="F76" t="s">
        <v>177</v>
      </c>
      <c r="G76" t="s">
        <v>178</v>
      </c>
    </row>
    <row r="77" spans="1:7" x14ac:dyDescent="0.45">
      <c r="A77">
        <f>VLOOKUP(C77,'Field Layout'!$B$9:$AJ$35,MATCH(Index!B77,'Field Layout'!$B$8:$AJ$8,0),FALSE)</f>
        <v>1322</v>
      </c>
      <c r="B77">
        <v>3</v>
      </c>
      <c r="C77">
        <v>22</v>
      </c>
      <c r="D77">
        <v>150</v>
      </c>
      <c r="E77">
        <v>1</v>
      </c>
      <c r="F77" t="s">
        <v>179</v>
      </c>
      <c r="G77" t="s">
        <v>180</v>
      </c>
    </row>
    <row r="78" spans="1:7" x14ac:dyDescent="0.45">
      <c r="A78">
        <f>VLOOKUP(C78,'Field Layout'!$B$9:$AJ$35,MATCH(Index!B78,'Field Layout'!$B$8:$AJ$8,0),FALSE)</f>
        <v>1338</v>
      </c>
      <c r="B78">
        <v>3</v>
      </c>
      <c r="C78">
        <v>23</v>
      </c>
      <c r="D78">
        <v>150</v>
      </c>
      <c r="E78">
        <v>1</v>
      </c>
      <c r="F78" t="s">
        <v>181</v>
      </c>
      <c r="G78" t="s">
        <v>182</v>
      </c>
    </row>
    <row r="79" spans="1:7" x14ac:dyDescent="0.45">
      <c r="A79">
        <f>VLOOKUP(C79,'Field Layout'!$B$9:$AJ$35,MATCH(Index!B79,'Field Layout'!$B$8:$AJ$8,0),FALSE)</f>
        <v>1354</v>
      </c>
      <c r="B79">
        <v>3</v>
      </c>
      <c r="C79">
        <v>24</v>
      </c>
      <c r="D79">
        <v>150</v>
      </c>
      <c r="E79">
        <v>1</v>
      </c>
      <c r="F79" t="s">
        <v>183</v>
      </c>
      <c r="G79" t="s">
        <v>184</v>
      </c>
    </row>
    <row r="80" spans="1:7" x14ac:dyDescent="0.45">
      <c r="A80">
        <f>VLOOKUP(C80,'Field Layout'!$B$9:$AJ$35,MATCH(Index!B80,'Field Layout'!$B$8:$AJ$8,0),FALSE)</f>
        <v>1370</v>
      </c>
      <c r="B80">
        <v>3</v>
      </c>
      <c r="C80">
        <v>25</v>
      </c>
      <c r="D80">
        <v>150</v>
      </c>
      <c r="E80">
        <v>1</v>
      </c>
      <c r="F80" t="s">
        <v>185</v>
      </c>
      <c r="G80" t="s">
        <v>186</v>
      </c>
    </row>
    <row r="81" spans="1:7" x14ac:dyDescent="0.45">
      <c r="A81">
        <f>VLOOKUP(C81,'Field Layout'!$B$9:$AJ$35,MATCH(Index!B81,'Field Layout'!$B$8:$AJ$8,0),FALSE)</f>
        <v>1386</v>
      </c>
      <c r="B81">
        <v>3</v>
      </c>
      <c r="C81">
        <v>26</v>
      </c>
      <c r="D81">
        <v>150</v>
      </c>
      <c r="E81">
        <v>1</v>
      </c>
      <c r="F81" t="s">
        <v>187</v>
      </c>
      <c r="G81" t="s">
        <v>188</v>
      </c>
    </row>
    <row r="82" spans="1:7" x14ac:dyDescent="0.45">
      <c r="A82" t="str">
        <f>VLOOKUP(C82,'Field Layout'!$B$9:$AJ$35,MATCH(Index!B82,'Field Layout'!$B$8:$AJ$8,0),FALSE)</f>
        <v>Border</v>
      </c>
      <c r="B82">
        <v>3</v>
      </c>
      <c r="C82">
        <v>27</v>
      </c>
      <c r="D82">
        <v>150</v>
      </c>
      <c r="E82" t="s">
        <v>54</v>
      </c>
      <c r="F82" t="s">
        <v>92</v>
      </c>
      <c r="G82" t="s">
        <v>99</v>
      </c>
    </row>
    <row r="83" spans="1:7" x14ac:dyDescent="0.45">
      <c r="A83" t="str">
        <f>VLOOKUP(C83,'Field Layout'!$B$9:$AJ$35,MATCH(Index!B83,'Field Layout'!$B$8:$AJ$8,0),FALSE)</f>
        <v>Border</v>
      </c>
      <c r="B83">
        <v>4</v>
      </c>
      <c r="C83">
        <v>1</v>
      </c>
      <c r="D83">
        <v>150</v>
      </c>
      <c r="E83" t="s">
        <v>54</v>
      </c>
      <c r="F83" t="s">
        <v>92</v>
      </c>
      <c r="G83" t="s">
        <v>99</v>
      </c>
    </row>
    <row r="84" spans="1:7" x14ac:dyDescent="0.45">
      <c r="A84">
        <f>VLOOKUP(C84,'Field Layout'!$B$9:$AJ$35,MATCH(Index!B84,'Field Layout'!$B$8:$AJ$8,0),FALSE)</f>
        <v>1003</v>
      </c>
      <c r="B84">
        <v>4</v>
      </c>
      <c r="C84">
        <v>2</v>
      </c>
      <c r="D84">
        <v>150</v>
      </c>
      <c r="E84">
        <v>1</v>
      </c>
      <c r="F84" t="s">
        <v>189</v>
      </c>
      <c r="G84" t="s">
        <v>190</v>
      </c>
    </row>
    <row r="85" spans="1:7" x14ac:dyDescent="0.45">
      <c r="A85">
        <f>VLOOKUP(C85,'Field Layout'!$B$9:$AJ$35,MATCH(Index!B85,'Field Layout'!$B$8:$AJ$8,0),FALSE)</f>
        <v>1019</v>
      </c>
      <c r="B85">
        <v>4</v>
      </c>
      <c r="C85">
        <v>3</v>
      </c>
      <c r="D85">
        <v>150</v>
      </c>
      <c r="E85">
        <v>1</v>
      </c>
      <c r="F85" t="s">
        <v>191</v>
      </c>
      <c r="G85" t="s">
        <v>192</v>
      </c>
    </row>
    <row r="86" spans="1:7" x14ac:dyDescent="0.45">
      <c r="A86">
        <f>VLOOKUP(C86,'Field Layout'!$B$9:$AJ$35,MATCH(Index!B86,'Field Layout'!$B$8:$AJ$8,0),FALSE)</f>
        <v>1035</v>
      </c>
      <c r="B86">
        <v>4</v>
      </c>
      <c r="C86">
        <v>4</v>
      </c>
      <c r="D86">
        <v>150</v>
      </c>
      <c r="E86">
        <v>1</v>
      </c>
      <c r="F86" t="s">
        <v>193</v>
      </c>
      <c r="G86" t="s">
        <v>194</v>
      </c>
    </row>
    <row r="87" spans="1:7" x14ac:dyDescent="0.45">
      <c r="A87">
        <f>VLOOKUP(C87,'Field Layout'!$B$9:$AJ$35,MATCH(Index!B87,'Field Layout'!$B$8:$AJ$8,0),FALSE)</f>
        <v>1051</v>
      </c>
      <c r="B87">
        <v>4</v>
      </c>
      <c r="C87">
        <v>5</v>
      </c>
      <c r="D87">
        <v>150</v>
      </c>
      <c r="E87">
        <v>1</v>
      </c>
      <c r="F87" t="s">
        <v>195</v>
      </c>
      <c r="G87" t="s">
        <v>196</v>
      </c>
    </row>
    <row r="88" spans="1:7" x14ac:dyDescent="0.45">
      <c r="A88">
        <f>VLOOKUP(C88,'Field Layout'!$B$9:$AJ$35,MATCH(Index!B88,'Field Layout'!$B$8:$AJ$8,0),FALSE)</f>
        <v>1067</v>
      </c>
      <c r="B88">
        <v>4</v>
      </c>
      <c r="C88">
        <v>6</v>
      </c>
      <c r="D88">
        <v>150</v>
      </c>
      <c r="E88">
        <v>1</v>
      </c>
      <c r="F88" t="s">
        <v>197</v>
      </c>
      <c r="G88" t="s">
        <v>198</v>
      </c>
    </row>
    <row r="89" spans="1:7" x14ac:dyDescent="0.45">
      <c r="A89">
        <f>VLOOKUP(C89,'Field Layout'!$B$9:$AJ$35,MATCH(Index!B89,'Field Layout'!$B$8:$AJ$8,0),FALSE)</f>
        <v>1083</v>
      </c>
      <c r="B89">
        <v>4</v>
      </c>
      <c r="C89">
        <v>7</v>
      </c>
      <c r="D89">
        <v>150</v>
      </c>
      <c r="E89">
        <v>1</v>
      </c>
      <c r="F89" t="s">
        <v>199</v>
      </c>
      <c r="G89" t="s">
        <v>200</v>
      </c>
    </row>
    <row r="90" spans="1:7" x14ac:dyDescent="0.45">
      <c r="A90">
        <f>VLOOKUP(C90,'Field Layout'!$B$9:$AJ$35,MATCH(Index!B90,'Field Layout'!$B$8:$AJ$8,0),FALSE)</f>
        <v>1099</v>
      </c>
      <c r="B90">
        <v>4</v>
      </c>
      <c r="C90">
        <v>8</v>
      </c>
      <c r="D90">
        <v>150</v>
      </c>
      <c r="E90">
        <v>1</v>
      </c>
      <c r="F90" t="s">
        <v>201</v>
      </c>
      <c r="G90" t="s">
        <v>202</v>
      </c>
    </row>
    <row r="91" spans="1:7" x14ac:dyDescent="0.45">
      <c r="A91">
        <f>VLOOKUP(C91,'Field Layout'!$B$9:$AJ$35,MATCH(Index!B91,'Field Layout'!$B$8:$AJ$8,0),FALSE)</f>
        <v>1115</v>
      </c>
      <c r="B91">
        <v>4</v>
      </c>
      <c r="C91">
        <v>9</v>
      </c>
      <c r="D91">
        <v>150</v>
      </c>
      <c r="E91">
        <v>1</v>
      </c>
      <c r="F91" t="s">
        <v>203</v>
      </c>
      <c r="G91" t="s">
        <v>204</v>
      </c>
    </row>
    <row r="92" spans="1:7" x14ac:dyDescent="0.45">
      <c r="A92">
        <f>VLOOKUP(C92,'Field Layout'!$B$9:$AJ$35,MATCH(Index!B92,'Field Layout'!$B$8:$AJ$8,0),FALSE)</f>
        <v>1131</v>
      </c>
      <c r="B92">
        <v>4</v>
      </c>
      <c r="C92">
        <v>10</v>
      </c>
      <c r="D92">
        <v>150</v>
      </c>
      <c r="E92">
        <v>1</v>
      </c>
      <c r="F92" t="s">
        <v>205</v>
      </c>
      <c r="G92" t="s">
        <v>206</v>
      </c>
    </row>
    <row r="93" spans="1:7" x14ac:dyDescent="0.45">
      <c r="A93">
        <f>VLOOKUP(C93,'Field Layout'!$B$9:$AJ$35,MATCH(Index!B93,'Field Layout'!$B$8:$AJ$8,0),FALSE)</f>
        <v>1147</v>
      </c>
      <c r="B93">
        <v>4</v>
      </c>
      <c r="C93">
        <v>11</v>
      </c>
      <c r="D93">
        <v>150</v>
      </c>
      <c r="E93">
        <v>1</v>
      </c>
      <c r="F93" t="s">
        <v>207</v>
      </c>
      <c r="G93" t="s">
        <v>208</v>
      </c>
    </row>
    <row r="94" spans="1:7" x14ac:dyDescent="0.45">
      <c r="A94">
        <f>VLOOKUP(C94,'Field Layout'!$B$9:$AJ$35,MATCH(Index!B94,'Field Layout'!$B$8:$AJ$8,0),FALSE)</f>
        <v>1163</v>
      </c>
      <c r="B94">
        <v>4</v>
      </c>
      <c r="C94">
        <v>12</v>
      </c>
      <c r="D94">
        <v>150</v>
      </c>
      <c r="E94">
        <v>1</v>
      </c>
      <c r="F94" t="s">
        <v>209</v>
      </c>
      <c r="G94" t="s">
        <v>210</v>
      </c>
    </row>
    <row r="95" spans="1:7" x14ac:dyDescent="0.45">
      <c r="A95">
        <f>VLOOKUP(C95,'Field Layout'!$B$9:$AJ$35,MATCH(Index!B95,'Field Layout'!$B$8:$AJ$8,0),FALSE)</f>
        <v>1179</v>
      </c>
      <c r="B95">
        <v>4</v>
      </c>
      <c r="C95">
        <v>13</v>
      </c>
      <c r="D95">
        <v>150</v>
      </c>
      <c r="E95">
        <v>1</v>
      </c>
      <c r="F95" t="s">
        <v>211</v>
      </c>
      <c r="G95" t="s">
        <v>212</v>
      </c>
    </row>
    <row r="96" spans="1:7" x14ac:dyDescent="0.45">
      <c r="A96">
        <f>VLOOKUP(C96,'Field Layout'!$B$9:$AJ$35,MATCH(Index!B96,'Field Layout'!$B$8:$AJ$8,0),FALSE)</f>
        <v>1195</v>
      </c>
      <c r="B96">
        <v>4</v>
      </c>
      <c r="C96">
        <v>14</v>
      </c>
      <c r="D96">
        <v>150</v>
      </c>
      <c r="E96">
        <v>1</v>
      </c>
      <c r="F96" t="s">
        <v>213</v>
      </c>
      <c r="G96" t="s">
        <v>214</v>
      </c>
    </row>
    <row r="97" spans="1:7" x14ac:dyDescent="0.45">
      <c r="A97">
        <f>VLOOKUP(C97,'Field Layout'!$B$9:$AJ$35,MATCH(Index!B97,'Field Layout'!$B$8:$AJ$8,0),FALSE)</f>
        <v>1211</v>
      </c>
      <c r="B97">
        <v>4</v>
      </c>
      <c r="C97">
        <v>15</v>
      </c>
      <c r="D97">
        <v>150</v>
      </c>
      <c r="E97">
        <v>1</v>
      </c>
      <c r="F97" t="s">
        <v>215</v>
      </c>
      <c r="G97" t="s">
        <v>216</v>
      </c>
    </row>
    <row r="98" spans="1:7" x14ac:dyDescent="0.45">
      <c r="A98">
        <f>VLOOKUP(C98,'Field Layout'!$B$9:$AJ$35,MATCH(Index!B98,'Field Layout'!$B$8:$AJ$8,0),FALSE)</f>
        <v>1227</v>
      </c>
      <c r="B98">
        <v>4</v>
      </c>
      <c r="C98">
        <v>16</v>
      </c>
      <c r="D98">
        <v>150</v>
      </c>
      <c r="E98">
        <v>1</v>
      </c>
      <c r="F98" t="s">
        <v>217</v>
      </c>
      <c r="G98" t="s">
        <v>218</v>
      </c>
    </row>
    <row r="99" spans="1:7" x14ac:dyDescent="0.45">
      <c r="A99">
        <f>VLOOKUP(C99,'Field Layout'!$B$9:$AJ$35,MATCH(Index!B99,'Field Layout'!$B$8:$AJ$8,0),FALSE)</f>
        <v>1243</v>
      </c>
      <c r="B99">
        <v>4</v>
      </c>
      <c r="C99">
        <v>17</v>
      </c>
      <c r="D99">
        <v>150</v>
      </c>
      <c r="E99">
        <v>1</v>
      </c>
      <c r="F99" t="s">
        <v>219</v>
      </c>
      <c r="G99" t="s">
        <v>220</v>
      </c>
    </row>
    <row r="100" spans="1:7" x14ac:dyDescent="0.45">
      <c r="A100">
        <f>VLOOKUP(C100,'Field Layout'!$B$9:$AJ$35,MATCH(Index!B100,'Field Layout'!$B$8:$AJ$8,0),FALSE)</f>
        <v>1259</v>
      </c>
      <c r="B100">
        <v>4</v>
      </c>
      <c r="C100">
        <v>18</v>
      </c>
      <c r="D100">
        <v>150</v>
      </c>
      <c r="E100">
        <v>1</v>
      </c>
      <c r="F100" t="s">
        <v>118</v>
      </c>
      <c r="G100" t="s">
        <v>119</v>
      </c>
    </row>
    <row r="101" spans="1:7" x14ac:dyDescent="0.45">
      <c r="A101">
        <f>VLOOKUP(C101,'Field Layout'!$B$9:$AJ$35,MATCH(Index!B101,'Field Layout'!$B$8:$AJ$8,0),FALSE)</f>
        <v>1275</v>
      </c>
      <c r="B101">
        <v>4</v>
      </c>
      <c r="C101">
        <v>19</v>
      </c>
      <c r="D101">
        <v>150</v>
      </c>
      <c r="E101">
        <v>1</v>
      </c>
      <c r="F101" t="s">
        <v>221</v>
      </c>
      <c r="G101" t="s">
        <v>222</v>
      </c>
    </row>
    <row r="102" spans="1:7" x14ac:dyDescent="0.45">
      <c r="A102">
        <f>VLOOKUP(C102,'Field Layout'!$B$9:$AJ$35,MATCH(Index!B102,'Field Layout'!$B$8:$AJ$8,0),FALSE)</f>
        <v>1291</v>
      </c>
      <c r="B102">
        <v>4</v>
      </c>
      <c r="C102">
        <v>20</v>
      </c>
      <c r="D102">
        <v>150</v>
      </c>
      <c r="E102">
        <v>1</v>
      </c>
      <c r="F102" t="s">
        <v>118</v>
      </c>
      <c r="G102" t="s">
        <v>119</v>
      </c>
    </row>
    <row r="103" spans="1:7" x14ac:dyDescent="0.45">
      <c r="A103">
        <f>VLOOKUP(C103,'Field Layout'!$B$9:$AJ$35,MATCH(Index!B103,'Field Layout'!$B$8:$AJ$8,0),FALSE)</f>
        <v>1307</v>
      </c>
      <c r="B103">
        <v>4</v>
      </c>
      <c r="C103">
        <v>21</v>
      </c>
      <c r="D103">
        <v>150</v>
      </c>
      <c r="E103">
        <v>1</v>
      </c>
      <c r="F103" t="s">
        <v>223</v>
      </c>
      <c r="G103" t="s">
        <v>224</v>
      </c>
    </row>
    <row r="104" spans="1:7" x14ac:dyDescent="0.45">
      <c r="A104">
        <f>VLOOKUP(C104,'Field Layout'!$B$9:$AJ$35,MATCH(Index!B104,'Field Layout'!$B$8:$AJ$8,0),FALSE)</f>
        <v>1323</v>
      </c>
      <c r="B104">
        <v>4</v>
      </c>
      <c r="C104">
        <v>22</v>
      </c>
      <c r="D104">
        <v>150</v>
      </c>
      <c r="E104">
        <v>1</v>
      </c>
      <c r="F104" t="s">
        <v>225</v>
      </c>
      <c r="G104" t="s">
        <v>226</v>
      </c>
    </row>
    <row r="105" spans="1:7" x14ac:dyDescent="0.45">
      <c r="A105">
        <f>VLOOKUP(C105,'Field Layout'!$B$9:$AJ$35,MATCH(Index!B105,'Field Layout'!$B$8:$AJ$8,0),FALSE)</f>
        <v>1339</v>
      </c>
      <c r="B105">
        <v>4</v>
      </c>
      <c r="C105">
        <v>23</v>
      </c>
      <c r="D105">
        <v>150</v>
      </c>
      <c r="E105">
        <v>1</v>
      </c>
      <c r="F105" t="s">
        <v>227</v>
      </c>
      <c r="G105" t="s">
        <v>228</v>
      </c>
    </row>
    <row r="106" spans="1:7" x14ac:dyDescent="0.45">
      <c r="A106">
        <f>VLOOKUP(C106,'Field Layout'!$B$9:$AJ$35,MATCH(Index!B106,'Field Layout'!$B$8:$AJ$8,0),FALSE)</f>
        <v>1355</v>
      </c>
      <c r="B106">
        <v>4</v>
      </c>
      <c r="C106">
        <v>24</v>
      </c>
      <c r="D106">
        <v>150</v>
      </c>
      <c r="E106">
        <v>1</v>
      </c>
      <c r="F106" t="s">
        <v>229</v>
      </c>
      <c r="G106" t="s">
        <v>230</v>
      </c>
    </row>
    <row r="107" spans="1:7" x14ac:dyDescent="0.45">
      <c r="A107">
        <f>VLOOKUP(C107,'Field Layout'!$B$9:$AJ$35,MATCH(Index!B107,'Field Layout'!$B$8:$AJ$8,0),FALSE)</f>
        <v>1371</v>
      </c>
      <c r="B107">
        <v>4</v>
      </c>
      <c r="C107">
        <v>25</v>
      </c>
      <c r="D107">
        <v>150</v>
      </c>
      <c r="E107">
        <v>1</v>
      </c>
      <c r="F107" t="s">
        <v>231</v>
      </c>
      <c r="G107" t="s">
        <v>232</v>
      </c>
    </row>
    <row r="108" spans="1:7" x14ac:dyDescent="0.45">
      <c r="A108">
        <f>VLOOKUP(C108,'Field Layout'!$B$9:$AJ$35,MATCH(Index!B108,'Field Layout'!$B$8:$AJ$8,0),FALSE)</f>
        <v>1387</v>
      </c>
      <c r="B108">
        <v>4</v>
      </c>
      <c r="C108">
        <v>26</v>
      </c>
      <c r="D108">
        <v>150</v>
      </c>
      <c r="E108">
        <v>1</v>
      </c>
      <c r="F108" t="s">
        <v>233</v>
      </c>
      <c r="G108" t="s">
        <v>234</v>
      </c>
    </row>
    <row r="109" spans="1:7" x14ac:dyDescent="0.45">
      <c r="A109" t="str">
        <f>VLOOKUP(C109,'Field Layout'!$B$9:$AJ$35,MATCH(Index!B109,'Field Layout'!$B$8:$AJ$8,0),FALSE)</f>
        <v>Border</v>
      </c>
      <c r="B109">
        <v>4</v>
      </c>
      <c r="C109">
        <v>27</v>
      </c>
      <c r="D109">
        <v>150</v>
      </c>
      <c r="E109" t="s">
        <v>54</v>
      </c>
      <c r="F109" t="s">
        <v>92</v>
      </c>
      <c r="G109" t="s">
        <v>99</v>
      </c>
    </row>
    <row r="110" spans="1:7" x14ac:dyDescent="0.45">
      <c r="A110" t="str">
        <f>VLOOKUP(C110,'Field Layout'!$B$9:$AJ$35,MATCH(Index!B110,'Field Layout'!$B$8:$AJ$8,0),FALSE)</f>
        <v>Border</v>
      </c>
      <c r="B110">
        <v>5</v>
      </c>
      <c r="C110">
        <v>1</v>
      </c>
      <c r="D110">
        <v>150</v>
      </c>
      <c r="E110" t="s">
        <v>54</v>
      </c>
      <c r="F110" t="s">
        <v>92</v>
      </c>
      <c r="G110" t="s">
        <v>99</v>
      </c>
    </row>
    <row r="111" spans="1:7" x14ac:dyDescent="0.45">
      <c r="A111">
        <f>VLOOKUP(C111,'Field Layout'!$B$9:$AJ$35,MATCH(Index!B111,'Field Layout'!$B$8:$AJ$8,0),FALSE)</f>
        <v>1004</v>
      </c>
      <c r="B111">
        <v>5</v>
      </c>
      <c r="C111">
        <v>2</v>
      </c>
      <c r="D111">
        <v>150</v>
      </c>
      <c r="E111">
        <v>1</v>
      </c>
      <c r="F111" t="s">
        <v>235</v>
      </c>
      <c r="G111" t="s">
        <v>236</v>
      </c>
    </row>
    <row r="112" spans="1:7" x14ac:dyDescent="0.45">
      <c r="A112">
        <f>VLOOKUP(C112,'Field Layout'!$B$9:$AJ$35,MATCH(Index!B112,'Field Layout'!$B$8:$AJ$8,0),FALSE)</f>
        <v>1020</v>
      </c>
      <c r="B112">
        <v>5</v>
      </c>
      <c r="C112">
        <v>3</v>
      </c>
      <c r="D112">
        <v>150</v>
      </c>
      <c r="E112">
        <v>1</v>
      </c>
      <c r="F112" t="s">
        <v>237</v>
      </c>
      <c r="G112" t="s">
        <v>238</v>
      </c>
    </row>
    <row r="113" spans="1:7" x14ac:dyDescent="0.45">
      <c r="A113">
        <f>VLOOKUP(C113,'Field Layout'!$B$9:$AJ$35,MATCH(Index!B113,'Field Layout'!$B$8:$AJ$8,0),FALSE)</f>
        <v>1036</v>
      </c>
      <c r="B113">
        <v>5</v>
      </c>
      <c r="C113">
        <v>4</v>
      </c>
      <c r="D113">
        <v>150</v>
      </c>
      <c r="E113">
        <v>1</v>
      </c>
      <c r="F113" t="s">
        <v>239</v>
      </c>
      <c r="G113" t="s">
        <v>240</v>
      </c>
    </row>
    <row r="114" spans="1:7" x14ac:dyDescent="0.45">
      <c r="A114">
        <f>VLOOKUP(C114,'Field Layout'!$B$9:$AJ$35,MATCH(Index!B114,'Field Layout'!$B$8:$AJ$8,0),FALSE)</f>
        <v>1052</v>
      </c>
      <c r="B114">
        <v>5</v>
      </c>
      <c r="C114">
        <v>5</v>
      </c>
      <c r="D114">
        <v>150</v>
      </c>
      <c r="E114">
        <v>1</v>
      </c>
      <c r="F114" t="s">
        <v>241</v>
      </c>
      <c r="G114" t="s">
        <v>242</v>
      </c>
    </row>
    <row r="115" spans="1:7" x14ac:dyDescent="0.45">
      <c r="A115">
        <f>VLOOKUP(C115,'Field Layout'!$B$9:$AJ$35,MATCH(Index!B115,'Field Layout'!$B$8:$AJ$8,0),FALSE)</f>
        <v>1068</v>
      </c>
      <c r="B115">
        <v>5</v>
      </c>
      <c r="C115">
        <v>6</v>
      </c>
      <c r="D115">
        <v>150</v>
      </c>
      <c r="E115">
        <v>1</v>
      </c>
      <c r="F115" t="s">
        <v>243</v>
      </c>
      <c r="G115" t="s">
        <v>244</v>
      </c>
    </row>
    <row r="116" spans="1:7" x14ac:dyDescent="0.45">
      <c r="A116">
        <f>VLOOKUP(C116,'Field Layout'!$B$9:$AJ$35,MATCH(Index!B116,'Field Layout'!$B$8:$AJ$8,0),FALSE)</f>
        <v>1084</v>
      </c>
      <c r="B116">
        <v>5</v>
      </c>
      <c r="C116">
        <v>7</v>
      </c>
      <c r="D116">
        <v>150</v>
      </c>
      <c r="E116">
        <v>1</v>
      </c>
      <c r="F116" t="s">
        <v>118</v>
      </c>
      <c r="G116" t="s">
        <v>119</v>
      </c>
    </row>
    <row r="117" spans="1:7" x14ac:dyDescent="0.45">
      <c r="A117">
        <f>VLOOKUP(C117,'Field Layout'!$B$9:$AJ$35,MATCH(Index!B117,'Field Layout'!$B$8:$AJ$8,0),FALSE)</f>
        <v>1100</v>
      </c>
      <c r="B117">
        <v>5</v>
      </c>
      <c r="C117">
        <v>8</v>
      </c>
      <c r="D117">
        <v>150</v>
      </c>
      <c r="E117">
        <v>1</v>
      </c>
      <c r="F117" t="s">
        <v>245</v>
      </c>
      <c r="G117" t="s">
        <v>246</v>
      </c>
    </row>
    <row r="118" spans="1:7" x14ac:dyDescent="0.45">
      <c r="A118">
        <f>VLOOKUP(C118,'Field Layout'!$B$9:$AJ$35,MATCH(Index!B118,'Field Layout'!$B$8:$AJ$8,0),FALSE)</f>
        <v>1116</v>
      </c>
      <c r="B118">
        <v>5</v>
      </c>
      <c r="C118">
        <v>9</v>
      </c>
      <c r="D118">
        <v>150</v>
      </c>
      <c r="E118">
        <v>1</v>
      </c>
      <c r="F118" t="s">
        <v>247</v>
      </c>
      <c r="G118" t="s">
        <v>248</v>
      </c>
    </row>
    <row r="119" spans="1:7" x14ac:dyDescent="0.45">
      <c r="A119">
        <f>VLOOKUP(C119,'Field Layout'!$B$9:$AJ$35,MATCH(Index!B119,'Field Layout'!$B$8:$AJ$8,0),FALSE)</f>
        <v>1132</v>
      </c>
      <c r="B119">
        <v>5</v>
      </c>
      <c r="C119">
        <v>10</v>
      </c>
      <c r="D119">
        <v>150</v>
      </c>
      <c r="E119">
        <v>1</v>
      </c>
      <c r="F119" t="s">
        <v>249</v>
      </c>
      <c r="G119" t="s">
        <v>250</v>
      </c>
    </row>
    <row r="120" spans="1:7" x14ac:dyDescent="0.45">
      <c r="A120">
        <f>VLOOKUP(C120,'Field Layout'!$B$9:$AJ$35,MATCH(Index!B120,'Field Layout'!$B$8:$AJ$8,0),FALSE)</f>
        <v>1148</v>
      </c>
      <c r="B120">
        <v>5</v>
      </c>
      <c r="C120">
        <v>11</v>
      </c>
      <c r="D120">
        <v>150</v>
      </c>
      <c r="E120">
        <v>1</v>
      </c>
      <c r="F120" t="s">
        <v>251</v>
      </c>
      <c r="G120" t="s">
        <v>252</v>
      </c>
    </row>
    <row r="121" spans="1:7" x14ac:dyDescent="0.45">
      <c r="A121">
        <f>VLOOKUP(C121,'Field Layout'!$B$9:$AJ$35,MATCH(Index!B121,'Field Layout'!$B$8:$AJ$8,0),FALSE)</f>
        <v>1164</v>
      </c>
      <c r="B121">
        <v>5</v>
      </c>
      <c r="C121">
        <v>12</v>
      </c>
      <c r="D121">
        <v>150</v>
      </c>
      <c r="E121">
        <v>1</v>
      </c>
      <c r="F121" t="s">
        <v>253</v>
      </c>
      <c r="G121" t="s">
        <v>254</v>
      </c>
    </row>
    <row r="122" spans="1:7" x14ac:dyDescent="0.45">
      <c r="A122">
        <f>VLOOKUP(C122,'Field Layout'!$B$9:$AJ$35,MATCH(Index!B122,'Field Layout'!$B$8:$AJ$8,0),FALSE)</f>
        <v>1180</v>
      </c>
      <c r="B122">
        <v>5</v>
      </c>
      <c r="C122">
        <v>13</v>
      </c>
      <c r="D122">
        <v>150</v>
      </c>
      <c r="E122">
        <v>1</v>
      </c>
      <c r="F122" t="s">
        <v>255</v>
      </c>
      <c r="G122" t="s">
        <v>256</v>
      </c>
    </row>
    <row r="123" spans="1:7" x14ac:dyDescent="0.45">
      <c r="A123">
        <f>VLOOKUP(C123,'Field Layout'!$B$9:$AJ$35,MATCH(Index!B123,'Field Layout'!$B$8:$AJ$8,0),FALSE)</f>
        <v>1196</v>
      </c>
      <c r="B123">
        <v>5</v>
      </c>
      <c r="C123">
        <v>14</v>
      </c>
      <c r="D123">
        <v>150</v>
      </c>
      <c r="E123">
        <v>1</v>
      </c>
      <c r="F123" t="s">
        <v>257</v>
      </c>
      <c r="G123" t="s">
        <v>258</v>
      </c>
    </row>
    <row r="124" spans="1:7" x14ac:dyDescent="0.45">
      <c r="A124">
        <f>VLOOKUP(C124,'Field Layout'!$B$9:$AJ$35,MATCH(Index!B124,'Field Layout'!$B$8:$AJ$8,0),FALSE)</f>
        <v>1212</v>
      </c>
      <c r="B124">
        <v>5</v>
      </c>
      <c r="C124">
        <v>15</v>
      </c>
      <c r="D124">
        <v>150</v>
      </c>
      <c r="E124">
        <v>1</v>
      </c>
      <c r="F124" t="s">
        <v>259</v>
      </c>
      <c r="G124" t="s">
        <v>260</v>
      </c>
    </row>
    <row r="125" spans="1:7" x14ac:dyDescent="0.45">
      <c r="A125">
        <f>VLOOKUP(C125,'Field Layout'!$B$9:$AJ$35,MATCH(Index!B125,'Field Layout'!$B$8:$AJ$8,0),FALSE)</f>
        <v>1228</v>
      </c>
      <c r="B125">
        <v>5</v>
      </c>
      <c r="C125">
        <v>16</v>
      </c>
      <c r="D125">
        <v>150</v>
      </c>
      <c r="E125">
        <v>1</v>
      </c>
      <c r="F125" t="s">
        <v>118</v>
      </c>
      <c r="G125" t="s">
        <v>119</v>
      </c>
    </row>
    <row r="126" spans="1:7" x14ac:dyDescent="0.45">
      <c r="A126">
        <f>VLOOKUP(C126,'Field Layout'!$B$9:$AJ$35,MATCH(Index!B126,'Field Layout'!$B$8:$AJ$8,0),FALSE)</f>
        <v>1244</v>
      </c>
      <c r="B126">
        <v>5</v>
      </c>
      <c r="C126">
        <v>17</v>
      </c>
      <c r="D126">
        <v>150</v>
      </c>
      <c r="E126">
        <v>1</v>
      </c>
      <c r="F126" t="s">
        <v>261</v>
      </c>
      <c r="G126" t="s">
        <v>262</v>
      </c>
    </row>
    <row r="127" spans="1:7" x14ac:dyDescent="0.45">
      <c r="A127">
        <f>VLOOKUP(C127,'Field Layout'!$B$9:$AJ$35,MATCH(Index!B127,'Field Layout'!$B$8:$AJ$8,0),FALSE)</f>
        <v>1260</v>
      </c>
      <c r="B127">
        <v>5</v>
      </c>
      <c r="C127">
        <v>18</v>
      </c>
      <c r="D127">
        <v>150</v>
      </c>
      <c r="E127">
        <v>1</v>
      </c>
      <c r="F127" t="s">
        <v>263</v>
      </c>
      <c r="G127" t="s">
        <v>264</v>
      </c>
    </row>
    <row r="128" spans="1:7" x14ac:dyDescent="0.45">
      <c r="A128">
        <f>VLOOKUP(C128,'Field Layout'!$B$9:$AJ$35,MATCH(Index!B128,'Field Layout'!$B$8:$AJ$8,0),FALSE)</f>
        <v>1276</v>
      </c>
      <c r="B128">
        <v>5</v>
      </c>
      <c r="C128">
        <v>19</v>
      </c>
      <c r="D128">
        <v>150</v>
      </c>
      <c r="E128">
        <v>1</v>
      </c>
      <c r="F128" t="s">
        <v>265</v>
      </c>
      <c r="G128" t="s">
        <v>266</v>
      </c>
    </row>
    <row r="129" spans="1:7" x14ac:dyDescent="0.45">
      <c r="A129">
        <f>VLOOKUP(C129,'Field Layout'!$B$9:$AJ$35,MATCH(Index!B129,'Field Layout'!$B$8:$AJ$8,0),FALSE)</f>
        <v>1292</v>
      </c>
      <c r="B129">
        <v>5</v>
      </c>
      <c r="C129">
        <v>20</v>
      </c>
      <c r="D129">
        <v>150</v>
      </c>
      <c r="E129">
        <v>1</v>
      </c>
      <c r="F129" t="s">
        <v>267</v>
      </c>
      <c r="G129" t="s">
        <v>268</v>
      </c>
    </row>
    <row r="130" spans="1:7" x14ac:dyDescent="0.45">
      <c r="A130">
        <f>VLOOKUP(C130,'Field Layout'!$B$9:$AJ$35,MATCH(Index!B130,'Field Layout'!$B$8:$AJ$8,0),FALSE)</f>
        <v>1308</v>
      </c>
      <c r="B130">
        <v>5</v>
      </c>
      <c r="C130">
        <v>21</v>
      </c>
      <c r="D130">
        <v>150</v>
      </c>
      <c r="E130">
        <v>1</v>
      </c>
      <c r="F130" t="s">
        <v>269</v>
      </c>
      <c r="G130" t="s">
        <v>270</v>
      </c>
    </row>
    <row r="131" spans="1:7" x14ac:dyDescent="0.45">
      <c r="A131">
        <f>VLOOKUP(C131,'Field Layout'!$B$9:$AJ$35,MATCH(Index!B131,'Field Layout'!$B$8:$AJ$8,0),FALSE)</f>
        <v>1324</v>
      </c>
      <c r="B131">
        <v>5</v>
      </c>
      <c r="C131">
        <v>22</v>
      </c>
      <c r="D131">
        <v>150</v>
      </c>
      <c r="E131">
        <v>1</v>
      </c>
      <c r="F131" t="s">
        <v>118</v>
      </c>
      <c r="G131" t="s">
        <v>119</v>
      </c>
    </row>
    <row r="132" spans="1:7" x14ac:dyDescent="0.45">
      <c r="A132">
        <f>VLOOKUP(C132,'Field Layout'!$B$9:$AJ$35,MATCH(Index!B132,'Field Layout'!$B$8:$AJ$8,0),FALSE)</f>
        <v>1340</v>
      </c>
      <c r="B132">
        <v>5</v>
      </c>
      <c r="C132">
        <v>23</v>
      </c>
      <c r="D132">
        <v>150</v>
      </c>
      <c r="E132">
        <v>1</v>
      </c>
      <c r="F132" t="s">
        <v>271</v>
      </c>
      <c r="G132" t="s">
        <v>272</v>
      </c>
    </row>
    <row r="133" spans="1:7" x14ac:dyDescent="0.45">
      <c r="A133">
        <f>VLOOKUP(C133,'Field Layout'!$B$9:$AJ$35,MATCH(Index!B133,'Field Layout'!$B$8:$AJ$8,0),FALSE)</f>
        <v>1356</v>
      </c>
      <c r="B133">
        <v>5</v>
      </c>
      <c r="C133">
        <v>24</v>
      </c>
      <c r="D133">
        <v>150</v>
      </c>
      <c r="E133">
        <v>1</v>
      </c>
      <c r="F133" t="s">
        <v>273</v>
      </c>
      <c r="G133" t="s">
        <v>274</v>
      </c>
    </row>
    <row r="134" spans="1:7" x14ac:dyDescent="0.45">
      <c r="A134">
        <f>VLOOKUP(C134,'Field Layout'!$B$9:$AJ$35,MATCH(Index!B134,'Field Layout'!$B$8:$AJ$8,0),FALSE)</f>
        <v>1372</v>
      </c>
      <c r="B134">
        <v>5</v>
      </c>
      <c r="C134">
        <v>25</v>
      </c>
      <c r="D134">
        <v>150</v>
      </c>
      <c r="E134">
        <v>1</v>
      </c>
      <c r="F134" t="s">
        <v>275</v>
      </c>
      <c r="G134" t="s">
        <v>276</v>
      </c>
    </row>
    <row r="135" spans="1:7" x14ac:dyDescent="0.45">
      <c r="A135">
        <f>VLOOKUP(C135,'Field Layout'!$B$9:$AJ$35,MATCH(Index!B135,'Field Layout'!$B$8:$AJ$8,0),FALSE)</f>
        <v>1388</v>
      </c>
      <c r="B135">
        <v>5</v>
      </c>
      <c r="C135">
        <v>26</v>
      </c>
      <c r="D135">
        <v>150</v>
      </c>
      <c r="E135">
        <v>1</v>
      </c>
      <c r="F135" t="s">
        <v>277</v>
      </c>
      <c r="G135" t="s">
        <v>278</v>
      </c>
    </row>
    <row r="136" spans="1:7" x14ac:dyDescent="0.45">
      <c r="A136" t="str">
        <f>VLOOKUP(C136,'Field Layout'!$B$9:$AJ$35,MATCH(Index!B136,'Field Layout'!$B$8:$AJ$8,0),FALSE)</f>
        <v>Border</v>
      </c>
      <c r="B136">
        <v>5</v>
      </c>
      <c r="C136">
        <v>27</v>
      </c>
      <c r="D136">
        <v>150</v>
      </c>
      <c r="E136" t="s">
        <v>54</v>
      </c>
      <c r="F136" t="s">
        <v>92</v>
      </c>
      <c r="G136" t="s">
        <v>99</v>
      </c>
    </row>
    <row r="137" spans="1:7" x14ac:dyDescent="0.45">
      <c r="A137" t="str">
        <f>VLOOKUP(C137,'Field Layout'!$B$9:$AJ$35,MATCH(Index!B137,'Field Layout'!$B$8:$AJ$8,0),FALSE)</f>
        <v>Border</v>
      </c>
      <c r="B137">
        <v>6</v>
      </c>
      <c r="C137">
        <v>1</v>
      </c>
      <c r="D137">
        <v>150</v>
      </c>
      <c r="E137" t="s">
        <v>54</v>
      </c>
      <c r="F137" t="s">
        <v>92</v>
      </c>
      <c r="G137" t="s">
        <v>99</v>
      </c>
    </row>
    <row r="138" spans="1:7" x14ac:dyDescent="0.45">
      <c r="A138">
        <f>VLOOKUP(C138,'Field Layout'!$B$9:$AJ$35,MATCH(Index!B138,'Field Layout'!$B$8:$AJ$8,0),FALSE)</f>
        <v>1005</v>
      </c>
      <c r="B138">
        <v>6</v>
      </c>
      <c r="C138">
        <v>2</v>
      </c>
      <c r="D138">
        <v>150</v>
      </c>
      <c r="E138">
        <v>1</v>
      </c>
      <c r="F138" t="s">
        <v>279</v>
      </c>
      <c r="G138" t="s">
        <v>280</v>
      </c>
    </row>
    <row r="139" spans="1:7" x14ac:dyDescent="0.45">
      <c r="A139">
        <f>VLOOKUP(C139,'Field Layout'!$B$9:$AJ$35,MATCH(Index!B139,'Field Layout'!$B$8:$AJ$8,0),FALSE)</f>
        <v>1021</v>
      </c>
      <c r="B139">
        <v>6</v>
      </c>
      <c r="C139">
        <v>3</v>
      </c>
      <c r="D139">
        <v>150</v>
      </c>
      <c r="E139">
        <v>1</v>
      </c>
      <c r="F139" t="s">
        <v>281</v>
      </c>
      <c r="G139" t="s">
        <v>282</v>
      </c>
    </row>
    <row r="140" spans="1:7" x14ac:dyDescent="0.45">
      <c r="A140">
        <f>VLOOKUP(C140,'Field Layout'!$B$9:$AJ$35,MATCH(Index!B140,'Field Layout'!$B$8:$AJ$8,0),FALSE)</f>
        <v>1037</v>
      </c>
      <c r="B140">
        <v>6</v>
      </c>
      <c r="C140">
        <v>4</v>
      </c>
      <c r="D140">
        <v>150</v>
      </c>
      <c r="E140">
        <v>1</v>
      </c>
      <c r="F140" t="s">
        <v>283</v>
      </c>
      <c r="G140" t="s">
        <v>284</v>
      </c>
    </row>
    <row r="141" spans="1:7" x14ac:dyDescent="0.45">
      <c r="A141">
        <f>VLOOKUP(C141,'Field Layout'!$B$9:$AJ$35,MATCH(Index!B141,'Field Layout'!$B$8:$AJ$8,0),FALSE)</f>
        <v>1053</v>
      </c>
      <c r="B141">
        <v>6</v>
      </c>
      <c r="C141">
        <v>5</v>
      </c>
      <c r="D141">
        <v>150</v>
      </c>
      <c r="E141">
        <v>1</v>
      </c>
      <c r="F141" t="s">
        <v>285</v>
      </c>
      <c r="G141" t="s">
        <v>286</v>
      </c>
    </row>
    <row r="142" spans="1:7" x14ac:dyDescent="0.45">
      <c r="A142">
        <f>VLOOKUP(C142,'Field Layout'!$B$9:$AJ$35,MATCH(Index!B142,'Field Layout'!$B$8:$AJ$8,0),FALSE)</f>
        <v>1069</v>
      </c>
      <c r="B142">
        <v>6</v>
      </c>
      <c r="C142">
        <v>6</v>
      </c>
      <c r="D142">
        <v>150</v>
      </c>
      <c r="E142">
        <v>1</v>
      </c>
      <c r="F142" t="s">
        <v>287</v>
      </c>
      <c r="G142" t="s">
        <v>288</v>
      </c>
    </row>
    <row r="143" spans="1:7" x14ac:dyDescent="0.45">
      <c r="A143">
        <f>VLOOKUP(C143,'Field Layout'!$B$9:$AJ$35,MATCH(Index!B143,'Field Layout'!$B$8:$AJ$8,0),FALSE)</f>
        <v>1085</v>
      </c>
      <c r="B143">
        <v>6</v>
      </c>
      <c r="C143">
        <v>7</v>
      </c>
      <c r="D143">
        <v>150</v>
      </c>
      <c r="E143">
        <v>1</v>
      </c>
      <c r="F143" t="s">
        <v>289</v>
      </c>
      <c r="G143" t="s">
        <v>290</v>
      </c>
    </row>
    <row r="144" spans="1:7" x14ac:dyDescent="0.45">
      <c r="A144">
        <f>VLOOKUP(C144,'Field Layout'!$B$9:$AJ$35,MATCH(Index!B144,'Field Layout'!$B$8:$AJ$8,0),FALSE)</f>
        <v>1101</v>
      </c>
      <c r="B144">
        <v>6</v>
      </c>
      <c r="C144">
        <v>8</v>
      </c>
      <c r="D144">
        <v>150</v>
      </c>
      <c r="E144">
        <v>1</v>
      </c>
      <c r="F144" t="s">
        <v>291</v>
      </c>
      <c r="G144" t="s">
        <v>292</v>
      </c>
    </row>
    <row r="145" spans="1:7" x14ac:dyDescent="0.45">
      <c r="A145">
        <f>VLOOKUP(C145,'Field Layout'!$B$9:$AJ$35,MATCH(Index!B145,'Field Layout'!$B$8:$AJ$8,0),FALSE)</f>
        <v>1117</v>
      </c>
      <c r="B145">
        <v>6</v>
      </c>
      <c r="C145">
        <v>9</v>
      </c>
      <c r="D145">
        <v>150</v>
      </c>
      <c r="E145">
        <v>1</v>
      </c>
      <c r="F145" t="s">
        <v>293</v>
      </c>
      <c r="G145" t="s">
        <v>294</v>
      </c>
    </row>
    <row r="146" spans="1:7" x14ac:dyDescent="0.45">
      <c r="A146">
        <f>VLOOKUP(C146,'Field Layout'!$B$9:$AJ$35,MATCH(Index!B146,'Field Layout'!$B$8:$AJ$8,0),FALSE)</f>
        <v>1133</v>
      </c>
      <c r="B146">
        <v>6</v>
      </c>
      <c r="C146">
        <v>10</v>
      </c>
      <c r="D146">
        <v>150</v>
      </c>
      <c r="E146">
        <v>1</v>
      </c>
      <c r="F146" t="s">
        <v>295</v>
      </c>
      <c r="G146" t="s">
        <v>296</v>
      </c>
    </row>
    <row r="147" spans="1:7" x14ac:dyDescent="0.45">
      <c r="A147">
        <f>VLOOKUP(C147,'Field Layout'!$B$9:$AJ$35,MATCH(Index!B147,'Field Layout'!$B$8:$AJ$8,0),FALSE)</f>
        <v>1149</v>
      </c>
      <c r="B147">
        <v>6</v>
      </c>
      <c r="C147">
        <v>11</v>
      </c>
      <c r="D147">
        <v>150</v>
      </c>
      <c r="E147">
        <v>1</v>
      </c>
      <c r="F147" t="s">
        <v>118</v>
      </c>
      <c r="G147" t="s">
        <v>119</v>
      </c>
    </row>
    <row r="148" spans="1:7" x14ac:dyDescent="0.45">
      <c r="A148">
        <f>VLOOKUP(C148,'Field Layout'!$B$9:$AJ$35,MATCH(Index!B148,'Field Layout'!$B$8:$AJ$8,0),FALSE)</f>
        <v>1165</v>
      </c>
      <c r="B148">
        <v>6</v>
      </c>
      <c r="C148">
        <v>12</v>
      </c>
      <c r="D148">
        <v>150</v>
      </c>
      <c r="E148">
        <v>1</v>
      </c>
      <c r="F148" t="s">
        <v>297</v>
      </c>
      <c r="G148" t="s">
        <v>298</v>
      </c>
    </row>
    <row r="149" spans="1:7" x14ac:dyDescent="0.45">
      <c r="A149">
        <f>VLOOKUP(C149,'Field Layout'!$B$9:$AJ$35,MATCH(Index!B149,'Field Layout'!$B$8:$AJ$8,0),FALSE)</f>
        <v>1181</v>
      </c>
      <c r="B149">
        <v>6</v>
      </c>
      <c r="C149">
        <v>13</v>
      </c>
      <c r="D149">
        <v>150</v>
      </c>
      <c r="E149">
        <v>1</v>
      </c>
      <c r="F149" t="s">
        <v>299</v>
      </c>
      <c r="G149" t="s">
        <v>300</v>
      </c>
    </row>
    <row r="150" spans="1:7" x14ac:dyDescent="0.45">
      <c r="A150">
        <f>VLOOKUP(C150,'Field Layout'!$B$9:$AJ$35,MATCH(Index!B150,'Field Layout'!$B$8:$AJ$8,0),FALSE)</f>
        <v>1197</v>
      </c>
      <c r="B150">
        <v>6</v>
      </c>
      <c r="C150">
        <v>14</v>
      </c>
      <c r="D150">
        <v>150</v>
      </c>
      <c r="E150">
        <v>1</v>
      </c>
      <c r="F150" t="s">
        <v>301</v>
      </c>
      <c r="G150" t="s">
        <v>302</v>
      </c>
    </row>
    <row r="151" spans="1:7" x14ac:dyDescent="0.45">
      <c r="A151">
        <f>VLOOKUP(C151,'Field Layout'!$B$9:$AJ$35,MATCH(Index!B151,'Field Layout'!$B$8:$AJ$8,0),FALSE)</f>
        <v>1213</v>
      </c>
      <c r="B151">
        <v>6</v>
      </c>
      <c r="C151">
        <v>15</v>
      </c>
      <c r="D151">
        <v>150</v>
      </c>
      <c r="E151">
        <v>1</v>
      </c>
      <c r="F151" t="s">
        <v>303</v>
      </c>
      <c r="G151" t="s">
        <v>304</v>
      </c>
    </row>
    <row r="152" spans="1:7" x14ac:dyDescent="0.45">
      <c r="A152">
        <f>VLOOKUP(C152,'Field Layout'!$B$9:$AJ$35,MATCH(Index!B152,'Field Layout'!$B$8:$AJ$8,0),FALSE)</f>
        <v>1229</v>
      </c>
      <c r="B152">
        <v>6</v>
      </c>
      <c r="C152">
        <v>16</v>
      </c>
      <c r="D152">
        <v>150</v>
      </c>
      <c r="E152">
        <v>1</v>
      </c>
      <c r="F152" t="s">
        <v>305</v>
      </c>
      <c r="G152" t="s">
        <v>306</v>
      </c>
    </row>
    <row r="153" spans="1:7" x14ac:dyDescent="0.45">
      <c r="A153">
        <f>VLOOKUP(C153,'Field Layout'!$B$9:$AJ$35,MATCH(Index!B153,'Field Layout'!$B$8:$AJ$8,0),FALSE)</f>
        <v>1245</v>
      </c>
      <c r="B153">
        <v>6</v>
      </c>
      <c r="C153">
        <v>17</v>
      </c>
      <c r="D153">
        <v>150</v>
      </c>
      <c r="E153">
        <v>1</v>
      </c>
      <c r="F153" t="s">
        <v>307</v>
      </c>
      <c r="G153" t="s">
        <v>119</v>
      </c>
    </row>
    <row r="154" spans="1:7" x14ac:dyDescent="0.45">
      <c r="A154">
        <f>VLOOKUP(C154,'Field Layout'!$B$9:$AJ$35,MATCH(Index!B154,'Field Layout'!$B$8:$AJ$8,0),FALSE)</f>
        <v>1261</v>
      </c>
      <c r="B154">
        <v>6</v>
      </c>
      <c r="C154">
        <v>18</v>
      </c>
      <c r="D154">
        <v>150</v>
      </c>
      <c r="E154">
        <v>1</v>
      </c>
      <c r="F154" t="s">
        <v>308</v>
      </c>
      <c r="G154" t="s">
        <v>309</v>
      </c>
    </row>
    <row r="155" spans="1:7" x14ac:dyDescent="0.45">
      <c r="A155">
        <f>VLOOKUP(C155,'Field Layout'!$B$9:$AJ$35,MATCH(Index!B155,'Field Layout'!$B$8:$AJ$8,0),FALSE)</f>
        <v>1277</v>
      </c>
      <c r="B155">
        <v>6</v>
      </c>
      <c r="C155">
        <v>19</v>
      </c>
      <c r="D155">
        <v>150</v>
      </c>
      <c r="E155">
        <v>1</v>
      </c>
      <c r="F155" t="s">
        <v>118</v>
      </c>
      <c r="G155" t="s">
        <v>119</v>
      </c>
    </row>
    <row r="156" spans="1:7" x14ac:dyDescent="0.45">
      <c r="A156">
        <f>VLOOKUP(C156,'Field Layout'!$B$9:$AJ$35,MATCH(Index!B156,'Field Layout'!$B$8:$AJ$8,0),FALSE)</f>
        <v>1293</v>
      </c>
      <c r="B156">
        <v>6</v>
      </c>
      <c r="C156">
        <v>20</v>
      </c>
      <c r="D156">
        <v>150</v>
      </c>
      <c r="E156">
        <v>1</v>
      </c>
      <c r="F156" t="s">
        <v>310</v>
      </c>
      <c r="G156" t="s">
        <v>311</v>
      </c>
    </row>
    <row r="157" spans="1:7" x14ac:dyDescent="0.45">
      <c r="A157">
        <f>VLOOKUP(C157,'Field Layout'!$B$9:$AJ$35,MATCH(Index!B157,'Field Layout'!$B$8:$AJ$8,0),FALSE)</f>
        <v>1309</v>
      </c>
      <c r="B157">
        <v>6</v>
      </c>
      <c r="C157">
        <v>21</v>
      </c>
      <c r="D157">
        <v>150</v>
      </c>
      <c r="E157">
        <v>1</v>
      </c>
      <c r="F157" t="s">
        <v>312</v>
      </c>
      <c r="G157" t="s">
        <v>313</v>
      </c>
    </row>
    <row r="158" spans="1:7" x14ac:dyDescent="0.45">
      <c r="A158">
        <f>VLOOKUP(C158,'Field Layout'!$B$9:$AJ$35,MATCH(Index!B158,'Field Layout'!$B$8:$AJ$8,0),FALSE)</f>
        <v>1325</v>
      </c>
      <c r="B158">
        <v>6</v>
      </c>
      <c r="C158">
        <v>22</v>
      </c>
      <c r="D158">
        <v>150</v>
      </c>
      <c r="E158">
        <v>1</v>
      </c>
      <c r="F158" t="s">
        <v>314</v>
      </c>
      <c r="G158" t="s">
        <v>315</v>
      </c>
    </row>
    <row r="159" spans="1:7" x14ac:dyDescent="0.45">
      <c r="A159">
        <f>VLOOKUP(C159,'Field Layout'!$B$9:$AJ$35,MATCH(Index!B159,'Field Layout'!$B$8:$AJ$8,0),FALSE)</f>
        <v>1341</v>
      </c>
      <c r="B159">
        <v>6</v>
      </c>
      <c r="C159">
        <v>23</v>
      </c>
      <c r="D159">
        <v>150</v>
      </c>
      <c r="E159">
        <v>1</v>
      </c>
      <c r="F159" t="s">
        <v>316</v>
      </c>
      <c r="G159" t="s">
        <v>317</v>
      </c>
    </row>
    <row r="160" spans="1:7" x14ac:dyDescent="0.45">
      <c r="A160">
        <f>VLOOKUP(C160,'Field Layout'!$B$9:$AJ$35,MATCH(Index!B160,'Field Layout'!$B$8:$AJ$8,0),FALSE)</f>
        <v>1357</v>
      </c>
      <c r="B160">
        <v>6</v>
      </c>
      <c r="C160">
        <v>24</v>
      </c>
      <c r="D160">
        <v>150</v>
      </c>
      <c r="E160">
        <v>1</v>
      </c>
      <c r="F160" t="s">
        <v>307</v>
      </c>
      <c r="G160" t="s">
        <v>119</v>
      </c>
    </row>
    <row r="161" spans="1:7" x14ac:dyDescent="0.45">
      <c r="A161">
        <f>VLOOKUP(C161,'Field Layout'!$B$9:$AJ$35,MATCH(Index!B161,'Field Layout'!$B$8:$AJ$8,0),FALSE)</f>
        <v>1373</v>
      </c>
      <c r="B161">
        <v>6</v>
      </c>
      <c r="C161">
        <v>25</v>
      </c>
      <c r="D161">
        <v>150</v>
      </c>
      <c r="E161">
        <v>1</v>
      </c>
      <c r="F161" t="s">
        <v>318</v>
      </c>
      <c r="G161" t="s">
        <v>119</v>
      </c>
    </row>
    <row r="162" spans="1:7" x14ac:dyDescent="0.45">
      <c r="A162">
        <f>VLOOKUP(C162,'Field Layout'!$B$9:$AJ$35,MATCH(Index!B162,'Field Layout'!$B$8:$AJ$8,0),FALSE)</f>
        <v>1389</v>
      </c>
      <c r="B162">
        <v>6</v>
      </c>
      <c r="C162">
        <v>26</v>
      </c>
      <c r="D162">
        <v>150</v>
      </c>
      <c r="E162">
        <v>1</v>
      </c>
      <c r="F162" t="s">
        <v>319</v>
      </c>
      <c r="G162" t="s">
        <v>320</v>
      </c>
    </row>
    <row r="163" spans="1:7" x14ac:dyDescent="0.45">
      <c r="A163" t="str">
        <f>VLOOKUP(C163,'Field Layout'!$B$9:$AJ$35,MATCH(Index!B163,'Field Layout'!$B$8:$AJ$8,0),FALSE)</f>
        <v>Border</v>
      </c>
      <c r="B163">
        <v>6</v>
      </c>
      <c r="C163">
        <v>27</v>
      </c>
      <c r="D163">
        <v>150</v>
      </c>
      <c r="E163" t="s">
        <v>54</v>
      </c>
      <c r="F163" t="s">
        <v>92</v>
      </c>
      <c r="G163" t="s">
        <v>99</v>
      </c>
    </row>
    <row r="164" spans="1:7" x14ac:dyDescent="0.45">
      <c r="A164" t="str">
        <f>VLOOKUP(C164,'Field Layout'!$B$9:$AJ$35,MATCH(Index!B164,'Field Layout'!$B$8:$AJ$8,0),FALSE)</f>
        <v>Border</v>
      </c>
      <c r="B164">
        <v>7</v>
      </c>
      <c r="C164">
        <v>1</v>
      </c>
      <c r="D164">
        <v>150</v>
      </c>
      <c r="E164" t="s">
        <v>54</v>
      </c>
      <c r="F164" t="s">
        <v>92</v>
      </c>
      <c r="G164" t="s">
        <v>99</v>
      </c>
    </row>
    <row r="165" spans="1:7" x14ac:dyDescent="0.45">
      <c r="A165">
        <f>VLOOKUP(C165,'Field Layout'!$B$9:$AJ$35,MATCH(Index!B165,'Field Layout'!$B$8:$AJ$8,0),FALSE)</f>
        <v>1006</v>
      </c>
      <c r="B165">
        <v>7</v>
      </c>
      <c r="C165">
        <v>2</v>
      </c>
      <c r="D165">
        <v>150</v>
      </c>
      <c r="E165">
        <v>1</v>
      </c>
      <c r="F165" t="s">
        <v>321</v>
      </c>
      <c r="G165" t="s">
        <v>322</v>
      </c>
    </row>
    <row r="166" spans="1:7" x14ac:dyDescent="0.45">
      <c r="A166">
        <f>VLOOKUP(C166,'Field Layout'!$B$9:$AJ$35,MATCH(Index!B166,'Field Layout'!$B$8:$AJ$8,0),FALSE)</f>
        <v>1022</v>
      </c>
      <c r="B166">
        <v>7</v>
      </c>
      <c r="C166">
        <v>3</v>
      </c>
      <c r="D166">
        <v>150</v>
      </c>
      <c r="E166">
        <v>1</v>
      </c>
      <c r="F166" t="s">
        <v>323</v>
      </c>
      <c r="G166" t="s">
        <v>324</v>
      </c>
    </row>
    <row r="167" spans="1:7" x14ac:dyDescent="0.45">
      <c r="A167">
        <f>VLOOKUP(C167,'Field Layout'!$B$9:$AJ$35,MATCH(Index!B167,'Field Layout'!$B$8:$AJ$8,0),FALSE)</f>
        <v>1038</v>
      </c>
      <c r="B167">
        <v>7</v>
      </c>
      <c r="C167">
        <v>4</v>
      </c>
      <c r="D167">
        <v>150</v>
      </c>
      <c r="E167">
        <v>1</v>
      </c>
      <c r="F167" t="s">
        <v>325</v>
      </c>
      <c r="G167" t="s">
        <v>326</v>
      </c>
    </row>
    <row r="168" spans="1:7" x14ac:dyDescent="0.45">
      <c r="A168">
        <f>VLOOKUP(C168,'Field Layout'!$B$9:$AJ$35,MATCH(Index!B168,'Field Layout'!$B$8:$AJ$8,0),FALSE)</f>
        <v>1054</v>
      </c>
      <c r="B168">
        <v>7</v>
      </c>
      <c r="C168">
        <v>5</v>
      </c>
      <c r="D168">
        <v>150</v>
      </c>
      <c r="E168">
        <v>1</v>
      </c>
      <c r="F168" t="s">
        <v>327</v>
      </c>
      <c r="G168" t="s">
        <v>328</v>
      </c>
    </row>
    <row r="169" spans="1:7" x14ac:dyDescent="0.45">
      <c r="A169">
        <f>VLOOKUP(C169,'Field Layout'!$B$9:$AJ$35,MATCH(Index!B169,'Field Layout'!$B$8:$AJ$8,0),FALSE)</f>
        <v>1070</v>
      </c>
      <c r="B169">
        <v>7</v>
      </c>
      <c r="C169">
        <v>6</v>
      </c>
      <c r="D169">
        <v>150</v>
      </c>
      <c r="E169">
        <v>1</v>
      </c>
      <c r="F169" t="s">
        <v>329</v>
      </c>
      <c r="G169" t="s">
        <v>330</v>
      </c>
    </row>
    <row r="170" spans="1:7" x14ac:dyDescent="0.45">
      <c r="A170">
        <f>VLOOKUP(C170,'Field Layout'!$B$9:$AJ$35,MATCH(Index!B170,'Field Layout'!$B$8:$AJ$8,0),FALSE)</f>
        <v>1086</v>
      </c>
      <c r="B170">
        <v>7</v>
      </c>
      <c r="C170">
        <v>7</v>
      </c>
      <c r="D170">
        <v>150</v>
      </c>
      <c r="E170">
        <v>1</v>
      </c>
      <c r="F170" t="s">
        <v>331</v>
      </c>
      <c r="G170" t="s">
        <v>332</v>
      </c>
    </row>
    <row r="171" spans="1:7" x14ac:dyDescent="0.45">
      <c r="A171">
        <f>VLOOKUP(C171,'Field Layout'!$B$9:$AJ$35,MATCH(Index!B171,'Field Layout'!$B$8:$AJ$8,0),FALSE)</f>
        <v>1102</v>
      </c>
      <c r="B171">
        <v>7</v>
      </c>
      <c r="C171">
        <v>8</v>
      </c>
      <c r="D171">
        <v>150</v>
      </c>
      <c r="E171">
        <v>1</v>
      </c>
      <c r="F171" t="s">
        <v>333</v>
      </c>
      <c r="G171" t="s">
        <v>334</v>
      </c>
    </row>
    <row r="172" spans="1:7" x14ac:dyDescent="0.45">
      <c r="A172">
        <f>VLOOKUP(C172,'Field Layout'!$B$9:$AJ$35,MATCH(Index!B172,'Field Layout'!$B$8:$AJ$8,0),FALSE)</f>
        <v>1118</v>
      </c>
      <c r="B172">
        <v>7</v>
      </c>
      <c r="C172">
        <v>9</v>
      </c>
      <c r="D172">
        <v>150</v>
      </c>
      <c r="E172">
        <v>1</v>
      </c>
      <c r="F172" t="s">
        <v>335</v>
      </c>
      <c r="G172" t="s">
        <v>336</v>
      </c>
    </row>
    <row r="173" spans="1:7" x14ac:dyDescent="0.45">
      <c r="A173">
        <f>VLOOKUP(C173,'Field Layout'!$B$9:$AJ$35,MATCH(Index!B173,'Field Layout'!$B$8:$AJ$8,0),FALSE)</f>
        <v>1134</v>
      </c>
      <c r="B173">
        <v>7</v>
      </c>
      <c r="C173">
        <v>10</v>
      </c>
      <c r="D173">
        <v>150</v>
      </c>
      <c r="E173">
        <v>1</v>
      </c>
      <c r="F173" t="s">
        <v>337</v>
      </c>
      <c r="G173" t="s">
        <v>338</v>
      </c>
    </row>
    <row r="174" spans="1:7" x14ac:dyDescent="0.45">
      <c r="A174">
        <f>VLOOKUP(C174,'Field Layout'!$B$9:$AJ$35,MATCH(Index!B174,'Field Layout'!$B$8:$AJ$8,0),FALSE)</f>
        <v>1150</v>
      </c>
      <c r="B174">
        <v>7</v>
      </c>
      <c r="C174">
        <v>11</v>
      </c>
      <c r="D174">
        <v>150</v>
      </c>
      <c r="E174">
        <v>1</v>
      </c>
      <c r="F174" t="s">
        <v>339</v>
      </c>
      <c r="G174" t="s">
        <v>340</v>
      </c>
    </row>
    <row r="175" spans="1:7" x14ac:dyDescent="0.45">
      <c r="A175">
        <f>VLOOKUP(C175,'Field Layout'!$B$9:$AJ$35,MATCH(Index!B175,'Field Layout'!$B$8:$AJ$8,0),FALSE)</f>
        <v>1166</v>
      </c>
      <c r="B175">
        <v>7</v>
      </c>
      <c r="C175">
        <v>12</v>
      </c>
      <c r="D175">
        <v>150</v>
      </c>
      <c r="E175">
        <v>1</v>
      </c>
      <c r="F175" t="s">
        <v>341</v>
      </c>
      <c r="G175" t="s">
        <v>342</v>
      </c>
    </row>
    <row r="176" spans="1:7" x14ac:dyDescent="0.45">
      <c r="A176">
        <f>VLOOKUP(C176,'Field Layout'!$B$9:$AJ$35,MATCH(Index!B176,'Field Layout'!$B$8:$AJ$8,0),FALSE)</f>
        <v>1182</v>
      </c>
      <c r="B176">
        <v>7</v>
      </c>
      <c r="C176">
        <v>13</v>
      </c>
      <c r="D176">
        <v>150</v>
      </c>
      <c r="E176">
        <v>1</v>
      </c>
      <c r="F176" t="s">
        <v>343</v>
      </c>
      <c r="G176" t="s">
        <v>344</v>
      </c>
    </row>
    <row r="177" spans="1:7" x14ac:dyDescent="0.45">
      <c r="A177">
        <f>VLOOKUP(C177,'Field Layout'!$B$9:$AJ$35,MATCH(Index!B177,'Field Layout'!$B$8:$AJ$8,0),FALSE)</f>
        <v>1198</v>
      </c>
      <c r="B177">
        <v>7</v>
      </c>
      <c r="C177">
        <v>14</v>
      </c>
      <c r="D177">
        <v>150</v>
      </c>
      <c r="E177">
        <v>1</v>
      </c>
      <c r="F177" t="s">
        <v>118</v>
      </c>
      <c r="G177" t="s">
        <v>119</v>
      </c>
    </row>
    <row r="178" spans="1:7" x14ac:dyDescent="0.45">
      <c r="A178">
        <f>VLOOKUP(C178,'Field Layout'!$B$9:$AJ$35,MATCH(Index!B178,'Field Layout'!$B$8:$AJ$8,0),FALSE)</f>
        <v>1214</v>
      </c>
      <c r="B178">
        <v>7</v>
      </c>
      <c r="C178">
        <v>15</v>
      </c>
      <c r="D178">
        <v>150</v>
      </c>
      <c r="E178">
        <v>1</v>
      </c>
      <c r="F178" t="s">
        <v>345</v>
      </c>
      <c r="G178" t="s">
        <v>346</v>
      </c>
    </row>
    <row r="179" spans="1:7" x14ac:dyDescent="0.45">
      <c r="A179">
        <f>VLOOKUP(C179,'Field Layout'!$B$9:$AJ$35,MATCH(Index!B179,'Field Layout'!$B$8:$AJ$8,0),FALSE)</f>
        <v>1230</v>
      </c>
      <c r="B179">
        <v>7</v>
      </c>
      <c r="C179">
        <v>16</v>
      </c>
      <c r="D179">
        <v>150</v>
      </c>
      <c r="E179">
        <v>1</v>
      </c>
      <c r="F179" t="s">
        <v>347</v>
      </c>
      <c r="G179" t="s">
        <v>348</v>
      </c>
    </row>
    <row r="180" spans="1:7" x14ac:dyDescent="0.45">
      <c r="A180">
        <f>VLOOKUP(C180,'Field Layout'!$B$9:$AJ$35,MATCH(Index!B180,'Field Layout'!$B$8:$AJ$8,0),FALSE)</f>
        <v>1246</v>
      </c>
      <c r="B180">
        <v>7</v>
      </c>
      <c r="C180">
        <v>17</v>
      </c>
      <c r="D180">
        <v>150</v>
      </c>
      <c r="E180">
        <v>1</v>
      </c>
      <c r="F180" t="s">
        <v>349</v>
      </c>
      <c r="G180" t="s">
        <v>350</v>
      </c>
    </row>
    <row r="181" spans="1:7" x14ac:dyDescent="0.45">
      <c r="A181">
        <f>VLOOKUP(C181,'Field Layout'!$B$9:$AJ$35,MATCH(Index!B181,'Field Layout'!$B$8:$AJ$8,0),FALSE)</f>
        <v>1262</v>
      </c>
      <c r="B181">
        <v>7</v>
      </c>
      <c r="C181">
        <v>18</v>
      </c>
      <c r="D181">
        <v>150</v>
      </c>
      <c r="E181">
        <v>1</v>
      </c>
      <c r="F181" t="s">
        <v>351</v>
      </c>
      <c r="G181" t="s">
        <v>352</v>
      </c>
    </row>
    <row r="182" spans="1:7" x14ac:dyDescent="0.45">
      <c r="A182">
        <f>VLOOKUP(C182,'Field Layout'!$B$9:$AJ$35,MATCH(Index!B182,'Field Layout'!$B$8:$AJ$8,0),FALSE)</f>
        <v>1278</v>
      </c>
      <c r="B182">
        <v>7</v>
      </c>
      <c r="C182">
        <v>19</v>
      </c>
      <c r="D182">
        <v>150</v>
      </c>
      <c r="E182">
        <v>1</v>
      </c>
      <c r="F182" t="s">
        <v>353</v>
      </c>
      <c r="G182" t="s">
        <v>354</v>
      </c>
    </row>
    <row r="183" spans="1:7" x14ac:dyDescent="0.45">
      <c r="A183">
        <f>VLOOKUP(C183,'Field Layout'!$B$9:$AJ$35,MATCH(Index!B183,'Field Layout'!$B$8:$AJ$8,0),FALSE)</f>
        <v>1294</v>
      </c>
      <c r="B183">
        <v>7</v>
      </c>
      <c r="C183">
        <v>20</v>
      </c>
      <c r="D183">
        <v>150</v>
      </c>
      <c r="E183">
        <v>1</v>
      </c>
      <c r="F183" t="s">
        <v>355</v>
      </c>
      <c r="G183" t="s">
        <v>356</v>
      </c>
    </row>
    <row r="184" spans="1:7" x14ac:dyDescent="0.45">
      <c r="A184">
        <f>VLOOKUP(C184,'Field Layout'!$B$9:$AJ$35,MATCH(Index!B184,'Field Layout'!$B$8:$AJ$8,0),FALSE)</f>
        <v>1310</v>
      </c>
      <c r="B184">
        <v>7</v>
      </c>
      <c r="C184">
        <v>21</v>
      </c>
      <c r="D184">
        <v>150</v>
      </c>
      <c r="E184">
        <v>1</v>
      </c>
      <c r="F184" t="s">
        <v>357</v>
      </c>
      <c r="G184" t="s">
        <v>358</v>
      </c>
    </row>
    <row r="185" spans="1:7" x14ac:dyDescent="0.45">
      <c r="A185">
        <f>VLOOKUP(C185,'Field Layout'!$B$9:$AJ$35,MATCH(Index!B185,'Field Layout'!$B$8:$AJ$8,0),FALSE)</f>
        <v>1326</v>
      </c>
      <c r="B185">
        <v>7</v>
      </c>
      <c r="C185">
        <v>22</v>
      </c>
      <c r="D185">
        <v>150</v>
      </c>
      <c r="E185">
        <v>1</v>
      </c>
      <c r="F185" t="s">
        <v>359</v>
      </c>
      <c r="G185" t="s">
        <v>360</v>
      </c>
    </row>
    <row r="186" spans="1:7" x14ac:dyDescent="0.45">
      <c r="A186">
        <f>VLOOKUP(C186,'Field Layout'!$B$9:$AJ$35,MATCH(Index!B186,'Field Layout'!$B$8:$AJ$8,0),FALSE)</f>
        <v>1342</v>
      </c>
      <c r="B186">
        <v>7</v>
      </c>
      <c r="C186">
        <v>23</v>
      </c>
      <c r="D186">
        <v>150</v>
      </c>
      <c r="E186">
        <v>1</v>
      </c>
      <c r="F186" t="s">
        <v>361</v>
      </c>
      <c r="G186" t="s">
        <v>362</v>
      </c>
    </row>
    <row r="187" spans="1:7" x14ac:dyDescent="0.45">
      <c r="A187">
        <f>VLOOKUP(C187,'Field Layout'!$B$9:$AJ$35,MATCH(Index!B187,'Field Layout'!$B$8:$AJ$8,0),FALSE)</f>
        <v>1358</v>
      </c>
      <c r="B187">
        <v>7</v>
      </c>
      <c r="C187">
        <v>24</v>
      </c>
      <c r="D187">
        <v>150</v>
      </c>
      <c r="E187">
        <v>1</v>
      </c>
      <c r="F187" t="s">
        <v>363</v>
      </c>
      <c r="G187" t="s">
        <v>119</v>
      </c>
    </row>
    <row r="188" spans="1:7" x14ac:dyDescent="0.45">
      <c r="A188">
        <f>VLOOKUP(C188,'Field Layout'!$B$9:$AJ$35,MATCH(Index!B188,'Field Layout'!$B$8:$AJ$8,0),FALSE)</f>
        <v>1374</v>
      </c>
      <c r="B188">
        <v>7</v>
      </c>
      <c r="C188">
        <v>25</v>
      </c>
      <c r="D188">
        <v>150</v>
      </c>
      <c r="E188">
        <v>1</v>
      </c>
      <c r="F188" t="s">
        <v>364</v>
      </c>
      <c r="G188" t="s">
        <v>365</v>
      </c>
    </row>
    <row r="189" spans="1:7" x14ac:dyDescent="0.45">
      <c r="A189">
        <f>VLOOKUP(C189,'Field Layout'!$B$9:$AJ$35,MATCH(Index!B189,'Field Layout'!$B$8:$AJ$8,0),FALSE)</f>
        <v>1390</v>
      </c>
      <c r="B189">
        <v>7</v>
      </c>
      <c r="C189">
        <v>26</v>
      </c>
      <c r="D189">
        <v>150</v>
      </c>
      <c r="E189">
        <v>1</v>
      </c>
      <c r="F189" t="s">
        <v>366</v>
      </c>
      <c r="G189" t="s">
        <v>367</v>
      </c>
    </row>
    <row r="190" spans="1:7" x14ac:dyDescent="0.45">
      <c r="A190" t="str">
        <f>VLOOKUP(C190,'Field Layout'!$B$9:$AJ$35,MATCH(Index!B190,'Field Layout'!$B$8:$AJ$8,0),FALSE)</f>
        <v>Border</v>
      </c>
      <c r="B190">
        <v>7</v>
      </c>
      <c r="C190">
        <v>27</v>
      </c>
      <c r="D190">
        <v>150</v>
      </c>
      <c r="E190" t="s">
        <v>54</v>
      </c>
      <c r="F190" t="s">
        <v>92</v>
      </c>
      <c r="G190" t="s">
        <v>99</v>
      </c>
    </row>
    <row r="191" spans="1:7" x14ac:dyDescent="0.45">
      <c r="A191" t="str">
        <f>VLOOKUP(C191,'Field Layout'!$B$9:$AJ$35,MATCH(Index!B191,'Field Layout'!$B$8:$AJ$8,0),FALSE)</f>
        <v>Border</v>
      </c>
      <c r="B191">
        <v>8</v>
      </c>
      <c r="C191">
        <v>1</v>
      </c>
      <c r="D191">
        <v>150</v>
      </c>
      <c r="E191" t="s">
        <v>54</v>
      </c>
      <c r="F191" t="s">
        <v>92</v>
      </c>
      <c r="G191" t="s">
        <v>99</v>
      </c>
    </row>
    <row r="192" spans="1:7" x14ac:dyDescent="0.45">
      <c r="A192">
        <f>VLOOKUP(C192,'Field Layout'!$B$9:$AJ$35,MATCH(Index!B192,'Field Layout'!$B$8:$AJ$8,0),FALSE)</f>
        <v>1007</v>
      </c>
      <c r="B192">
        <v>8</v>
      </c>
      <c r="C192">
        <v>2</v>
      </c>
      <c r="D192">
        <v>150</v>
      </c>
      <c r="E192">
        <v>1</v>
      </c>
      <c r="F192" t="s">
        <v>368</v>
      </c>
      <c r="G192" t="s">
        <v>369</v>
      </c>
    </row>
    <row r="193" spans="1:7" x14ac:dyDescent="0.45">
      <c r="A193">
        <f>VLOOKUP(C193,'Field Layout'!$B$9:$AJ$35,MATCH(Index!B193,'Field Layout'!$B$8:$AJ$8,0),FALSE)</f>
        <v>1023</v>
      </c>
      <c r="B193">
        <v>8</v>
      </c>
      <c r="C193">
        <v>3</v>
      </c>
      <c r="D193">
        <v>150</v>
      </c>
      <c r="E193">
        <v>1</v>
      </c>
      <c r="F193" t="s">
        <v>118</v>
      </c>
      <c r="G193" t="s">
        <v>119</v>
      </c>
    </row>
    <row r="194" spans="1:7" x14ac:dyDescent="0.45">
      <c r="A194">
        <f>VLOOKUP(C194,'Field Layout'!$B$9:$AJ$35,MATCH(Index!B194,'Field Layout'!$B$8:$AJ$8,0),FALSE)</f>
        <v>1039</v>
      </c>
      <c r="B194">
        <v>8</v>
      </c>
      <c r="C194">
        <v>4</v>
      </c>
      <c r="D194">
        <v>150</v>
      </c>
      <c r="E194">
        <v>1</v>
      </c>
      <c r="F194" t="s">
        <v>370</v>
      </c>
      <c r="G194" t="s">
        <v>371</v>
      </c>
    </row>
    <row r="195" spans="1:7" x14ac:dyDescent="0.45">
      <c r="A195">
        <f>VLOOKUP(C195,'Field Layout'!$B$9:$AJ$35,MATCH(Index!B195,'Field Layout'!$B$8:$AJ$8,0),FALSE)</f>
        <v>1055</v>
      </c>
      <c r="B195">
        <v>8</v>
      </c>
      <c r="C195">
        <v>5</v>
      </c>
      <c r="D195">
        <v>150</v>
      </c>
      <c r="E195">
        <v>1</v>
      </c>
      <c r="F195" t="s">
        <v>372</v>
      </c>
      <c r="G195" t="s">
        <v>373</v>
      </c>
    </row>
    <row r="196" spans="1:7" x14ac:dyDescent="0.45">
      <c r="A196">
        <f>VLOOKUP(C196,'Field Layout'!$B$9:$AJ$35,MATCH(Index!B196,'Field Layout'!$B$8:$AJ$8,0),FALSE)</f>
        <v>1071</v>
      </c>
      <c r="B196">
        <v>8</v>
      </c>
      <c r="C196">
        <v>6</v>
      </c>
      <c r="D196">
        <v>150</v>
      </c>
      <c r="E196">
        <v>1</v>
      </c>
      <c r="F196" t="s">
        <v>374</v>
      </c>
      <c r="G196" t="s">
        <v>375</v>
      </c>
    </row>
    <row r="197" spans="1:7" x14ac:dyDescent="0.45">
      <c r="A197">
        <f>VLOOKUP(C197,'Field Layout'!$B$9:$AJ$35,MATCH(Index!B197,'Field Layout'!$B$8:$AJ$8,0),FALSE)</f>
        <v>1087</v>
      </c>
      <c r="B197">
        <v>8</v>
      </c>
      <c r="C197">
        <v>7</v>
      </c>
      <c r="D197">
        <v>150</v>
      </c>
      <c r="E197">
        <v>1</v>
      </c>
      <c r="F197" t="s">
        <v>376</v>
      </c>
      <c r="G197" t="s">
        <v>377</v>
      </c>
    </row>
    <row r="198" spans="1:7" x14ac:dyDescent="0.45">
      <c r="A198">
        <f>VLOOKUP(C198,'Field Layout'!$B$9:$AJ$35,MATCH(Index!B198,'Field Layout'!$B$8:$AJ$8,0),FALSE)</f>
        <v>1103</v>
      </c>
      <c r="B198">
        <v>8</v>
      </c>
      <c r="C198">
        <v>8</v>
      </c>
      <c r="D198">
        <v>150</v>
      </c>
      <c r="E198">
        <v>1</v>
      </c>
      <c r="F198" t="s">
        <v>378</v>
      </c>
      <c r="G198" t="s">
        <v>379</v>
      </c>
    </row>
    <row r="199" spans="1:7" x14ac:dyDescent="0.45">
      <c r="A199">
        <f>VLOOKUP(C199,'Field Layout'!$B$9:$AJ$35,MATCH(Index!B199,'Field Layout'!$B$8:$AJ$8,0),FALSE)</f>
        <v>1119</v>
      </c>
      <c r="B199">
        <v>8</v>
      </c>
      <c r="C199">
        <v>9</v>
      </c>
      <c r="D199">
        <v>150</v>
      </c>
      <c r="E199">
        <v>1</v>
      </c>
      <c r="F199" t="s">
        <v>380</v>
      </c>
      <c r="G199" t="s">
        <v>381</v>
      </c>
    </row>
    <row r="200" spans="1:7" x14ac:dyDescent="0.45">
      <c r="A200">
        <f>VLOOKUP(C200,'Field Layout'!$B$9:$AJ$35,MATCH(Index!B200,'Field Layout'!$B$8:$AJ$8,0),FALSE)</f>
        <v>1135</v>
      </c>
      <c r="B200">
        <v>8</v>
      </c>
      <c r="C200">
        <v>10</v>
      </c>
      <c r="D200">
        <v>150</v>
      </c>
      <c r="E200">
        <v>1</v>
      </c>
      <c r="F200" t="s">
        <v>118</v>
      </c>
      <c r="G200" t="s">
        <v>119</v>
      </c>
    </row>
    <row r="201" spans="1:7" x14ac:dyDescent="0.45">
      <c r="A201">
        <f>VLOOKUP(C201,'Field Layout'!$B$9:$AJ$35,MATCH(Index!B201,'Field Layout'!$B$8:$AJ$8,0),FALSE)</f>
        <v>1151</v>
      </c>
      <c r="B201">
        <v>8</v>
      </c>
      <c r="C201">
        <v>11</v>
      </c>
      <c r="D201">
        <v>150</v>
      </c>
      <c r="E201">
        <v>1</v>
      </c>
      <c r="F201" t="s">
        <v>118</v>
      </c>
      <c r="G201" t="s">
        <v>119</v>
      </c>
    </row>
    <row r="202" spans="1:7" x14ac:dyDescent="0.45">
      <c r="A202">
        <f>VLOOKUP(C202,'Field Layout'!$B$9:$AJ$35,MATCH(Index!B202,'Field Layout'!$B$8:$AJ$8,0),FALSE)</f>
        <v>1167</v>
      </c>
      <c r="B202">
        <v>8</v>
      </c>
      <c r="C202">
        <v>12</v>
      </c>
      <c r="D202">
        <v>150</v>
      </c>
      <c r="E202">
        <v>1</v>
      </c>
      <c r="F202" t="s">
        <v>382</v>
      </c>
      <c r="G202" t="s">
        <v>383</v>
      </c>
    </row>
    <row r="203" spans="1:7" x14ac:dyDescent="0.45">
      <c r="A203">
        <f>VLOOKUP(C203,'Field Layout'!$B$9:$AJ$35,MATCH(Index!B203,'Field Layout'!$B$8:$AJ$8,0),FALSE)</f>
        <v>1183</v>
      </c>
      <c r="B203">
        <v>8</v>
      </c>
      <c r="C203">
        <v>13</v>
      </c>
      <c r="D203">
        <v>150</v>
      </c>
      <c r="E203">
        <v>1</v>
      </c>
      <c r="F203" t="s">
        <v>384</v>
      </c>
      <c r="G203" t="s">
        <v>385</v>
      </c>
    </row>
    <row r="204" spans="1:7" x14ac:dyDescent="0.45">
      <c r="A204">
        <f>VLOOKUP(C204,'Field Layout'!$B$9:$AJ$35,MATCH(Index!B204,'Field Layout'!$B$8:$AJ$8,0),FALSE)</f>
        <v>1199</v>
      </c>
      <c r="B204">
        <v>8</v>
      </c>
      <c r="C204">
        <v>14</v>
      </c>
      <c r="D204">
        <v>150</v>
      </c>
      <c r="E204">
        <v>1</v>
      </c>
      <c r="F204" t="s">
        <v>386</v>
      </c>
      <c r="G204" t="s">
        <v>387</v>
      </c>
    </row>
    <row r="205" spans="1:7" x14ac:dyDescent="0.45">
      <c r="A205">
        <f>VLOOKUP(C205,'Field Layout'!$B$9:$AJ$35,MATCH(Index!B205,'Field Layout'!$B$8:$AJ$8,0),FALSE)</f>
        <v>1215</v>
      </c>
      <c r="B205">
        <v>8</v>
      </c>
      <c r="C205">
        <v>15</v>
      </c>
      <c r="D205">
        <v>150</v>
      </c>
      <c r="E205">
        <v>1</v>
      </c>
      <c r="F205" t="s">
        <v>388</v>
      </c>
      <c r="G205" t="s">
        <v>389</v>
      </c>
    </row>
    <row r="206" spans="1:7" x14ac:dyDescent="0.45">
      <c r="A206">
        <f>VLOOKUP(C206,'Field Layout'!$B$9:$AJ$35,MATCH(Index!B206,'Field Layout'!$B$8:$AJ$8,0),FALSE)</f>
        <v>1231</v>
      </c>
      <c r="B206">
        <v>8</v>
      </c>
      <c r="C206">
        <v>16</v>
      </c>
      <c r="D206">
        <v>150</v>
      </c>
      <c r="E206">
        <v>1</v>
      </c>
      <c r="F206" t="s">
        <v>390</v>
      </c>
      <c r="G206" t="s">
        <v>391</v>
      </c>
    </row>
    <row r="207" spans="1:7" x14ac:dyDescent="0.45">
      <c r="A207">
        <f>VLOOKUP(C207,'Field Layout'!$B$9:$AJ$35,MATCH(Index!B207,'Field Layout'!$B$8:$AJ$8,0),FALSE)</f>
        <v>1247</v>
      </c>
      <c r="B207">
        <v>8</v>
      </c>
      <c r="C207">
        <v>17</v>
      </c>
      <c r="D207">
        <v>150</v>
      </c>
      <c r="E207">
        <v>1</v>
      </c>
      <c r="F207" t="s">
        <v>392</v>
      </c>
      <c r="G207" t="s">
        <v>393</v>
      </c>
    </row>
    <row r="208" spans="1:7" x14ac:dyDescent="0.45">
      <c r="A208">
        <f>VLOOKUP(C208,'Field Layout'!$B$9:$AJ$35,MATCH(Index!B208,'Field Layout'!$B$8:$AJ$8,0),FALSE)</f>
        <v>1263</v>
      </c>
      <c r="B208">
        <v>8</v>
      </c>
      <c r="C208">
        <v>18</v>
      </c>
      <c r="D208">
        <v>150</v>
      </c>
      <c r="E208">
        <v>1</v>
      </c>
      <c r="F208" t="s">
        <v>394</v>
      </c>
      <c r="G208" t="s">
        <v>395</v>
      </c>
    </row>
    <row r="209" spans="1:7" x14ac:dyDescent="0.45">
      <c r="A209">
        <f>VLOOKUP(C209,'Field Layout'!$B$9:$AJ$35,MATCH(Index!B209,'Field Layout'!$B$8:$AJ$8,0),FALSE)</f>
        <v>1279</v>
      </c>
      <c r="B209">
        <v>8</v>
      </c>
      <c r="C209">
        <v>19</v>
      </c>
      <c r="D209">
        <v>150</v>
      </c>
      <c r="E209">
        <v>1</v>
      </c>
      <c r="F209" t="s">
        <v>396</v>
      </c>
      <c r="G209" t="s">
        <v>397</v>
      </c>
    </row>
    <row r="210" spans="1:7" x14ac:dyDescent="0.45">
      <c r="A210">
        <f>VLOOKUP(C210,'Field Layout'!$B$9:$AJ$35,MATCH(Index!B210,'Field Layout'!$B$8:$AJ$8,0),FALSE)</f>
        <v>1295</v>
      </c>
      <c r="B210">
        <v>8</v>
      </c>
      <c r="C210">
        <v>20</v>
      </c>
      <c r="D210">
        <v>150</v>
      </c>
      <c r="E210">
        <v>1</v>
      </c>
      <c r="F210" t="s">
        <v>398</v>
      </c>
      <c r="G210" t="s">
        <v>399</v>
      </c>
    </row>
    <row r="211" spans="1:7" x14ac:dyDescent="0.45">
      <c r="A211">
        <f>VLOOKUP(C211,'Field Layout'!$B$9:$AJ$35,MATCH(Index!B211,'Field Layout'!$B$8:$AJ$8,0),FALSE)</f>
        <v>1311</v>
      </c>
      <c r="B211">
        <v>8</v>
      </c>
      <c r="C211">
        <v>21</v>
      </c>
      <c r="D211">
        <v>150</v>
      </c>
      <c r="E211">
        <v>1</v>
      </c>
      <c r="F211" t="s">
        <v>400</v>
      </c>
      <c r="G211" t="s">
        <v>401</v>
      </c>
    </row>
    <row r="212" spans="1:7" x14ac:dyDescent="0.45">
      <c r="A212">
        <f>VLOOKUP(C212,'Field Layout'!$B$9:$AJ$35,MATCH(Index!B212,'Field Layout'!$B$8:$AJ$8,0),FALSE)</f>
        <v>1327</v>
      </c>
      <c r="B212">
        <v>8</v>
      </c>
      <c r="C212">
        <v>22</v>
      </c>
      <c r="D212">
        <v>150</v>
      </c>
      <c r="E212">
        <v>1</v>
      </c>
      <c r="F212" t="s">
        <v>402</v>
      </c>
      <c r="G212" t="s">
        <v>403</v>
      </c>
    </row>
    <row r="213" spans="1:7" x14ac:dyDescent="0.45">
      <c r="A213">
        <f>VLOOKUP(C213,'Field Layout'!$B$9:$AJ$35,MATCH(Index!B213,'Field Layout'!$B$8:$AJ$8,0),FALSE)</f>
        <v>1343</v>
      </c>
      <c r="B213">
        <v>8</v>
      </c>
      <c r="C213">
        <v>23</v>
      </c>
      <c r="D213">
        <v>150</v>
      </c>
      <c r="E213">
        <v>1</v>
      </c>
      <c r="F213" t="s">
        <v>118</v>
      </c>
      <c r="G213" t="s">
        <v>119</v>
      </c>
    </row>
    <row r="214" spans="1:7" x14ac:dyDescent="0.45">
      <c r="A214">
        <f>VLOOKUP(C214,'Field Layout'!$B$9:$AJ$35,MATCH(Index!B214,'Field Layout'!$B$8:$AJ$8,0),FALSE)</f>
        <v>1359</v>
      </c>
      <c r="B214">
        <v>8</v>
      </c>
      <c r="C214">
        <v>24</v>
      </c>
      <c r="D214">
        <v>150</v>
      </c>
      <c r="E214">
        <v>1</v>
      </c>
      <c r="F214" t="s">
        <v>404</v>
      </c>
      <c r="G214" t="s">
        <v>405</v>
      </c>
    </row>
    <row r="215" spans="1:7" x14ac:dyDescent="0.45">
      <c r="A215">
        <f>VLOOKUP(C215,'Field Layout'!$B$9:$AJ$35,MATCH(Index!B215,'Field Layout'!$B$8:$AJ$8,0),FALSE)</f>
        <v>1375</v>
      </c>
      <c r="B215">
        <v>8</v>
      </c>
      <c r="C215">
        <v>25</v>
      </c>
      <c r="D215">
        <v>150</v>
      </c>
      <c r="E215">
        <v>1</v>
      </c>
      <c r="F215" t="s">
        <v>406</v>
      </c>
      <c r="G215" t="s">
        <v>407</v>
      </c>
    </row>
    <row r="216" spans="1:7" x14ac:dyDescent="0.45">
      <c r="A216">
        <f>VLOOKUP(C216,'Field Layout'!$B$9:$AJ$35,MATCH(Index!B216,'Field Layout'!$B$8:$AJ$8,0),FALSE)</f>
        <v>1391</v>
      </c>
      <c r="B216">
        <v>8</v>
      </c>
      <c r="C216">
        <v>26</v>
      </c>
      <c r="D216">
        <v>150</v>
      </c>
      <c r="E216">
        <v>1</v>
      </c>
      <c r="F216" t="s">
        <v>118</v>
      </c>
      <c r="G216" t="s">
        <v>119</v>
      </c>
    </row>
    <row r="217" spans="1:7" x14ac:dyDescent="0.45">
      <c r="A217" t="str">
        <f>VLOOKUP(C217,'Field Layout'!$B$9:$AJ$35,MATCH(Index!B217,'Field Layout'!$B$8:$AJ$8,0),FALSE)</f>
        <v>Border</v>
      </c>
      <c r="B217">
        <v>8</v>
      </c>
      <c r="C217">
        <v>27</v>
      </c>
      <c r="D217">
        <v>150</v>
      </c>
      <c r="E217" t="s">
        <v>54</v>
      </c>
      <c r="F217" t="s">
        <v>92</v>
      </c>
      <c r="G217" t="s">
        <v>99</v>
      </c>
    </row>
    <row r="218" spans="1:7" x14ac:dyDescent="0.45">
      <c r="A218" t="str">
        <f>VLOOKUP(C218,'Field Layout'!$B$9:$AJ$35,MATCH(Index!B218,'Field Layout'!$B$8:$AJ$8,0),FALSE)</f>
        <v>Border</v>
      </c>
      <c r="B218">
        <v>9</v>
      </c>
      <c r="C218">
        <v>1</v>
      </c>
      <c r="D218">
        <v>150</v>
      </c>
      <c r="E218" t="s">
        <v>54</v>
      </c>
      <c r="F218" t="s">
        <v>92</v>
      </c>
      <c r="G218" t="s">
        <v>99</v>
      </c>
    </row>
    <row r="219" spans="1:7" x14ac:dyDescent="0.45">
      <c r="A219">
        <f>VLOOKUP(C219,'Field Layout'!$B$9:$AJ$35,MATCH(Index!B219,'Field Layout'!$B$8:$AJ$8,0),FALSE)</f>
        <v>1008</v>
      </c>
      <c r="B219">
        <v>9</v>
      </c>
      <c r="C219">
        <v>2</v>
      </c>
      <c r="D219">
        <v>150</v>
      </c>
      <c r="E219">
        <v>1</v>
      </c>
      <c r="F219" t="s">
        <v>408</v>
      </c>
      <c r="G219" t="s">
        <v>409</v>
      </c>
    </row>
    <row r="220" spans="1:7" x14ac:dyDescent="0.45">
      <c r="A220">
        <f>VLOOKUP(C220,'Field Layout'!$B$9:$AJ$35,MATCH(Index!B220,'Field Layout'!$B$8:$AJ$8,0),FALSE)</f>
        <v>1024</v>
      </c>
      <c r="B220">
        <v>9</v>
      </c>
      <c r="C220">
        <v>3</v>
      </c>
      <c r="D220">
        <v>150</v>
      </c>
      <c r="E220">
        <v>1</v>
      </c>
      <c r="F220" t="s">
        <v>410</v>
      </c>
      <c r="G220" t="s">
        <v>411</v>
      </c>
    </row>
    <row r="221" spans="1:7" x14ac:dyDescent="0.45">
      <c r="A221">
        <f>VLOOKUP(C221,'Field Layout'!$B$9:$AJ$35,MATCH(Index!B221,'Field Layout'!$B$8:$AJ$8,0),FALSE)</f>
        <v>1040</v>
      </c>
      <c r="B221">
        <v>9</v>
      </c>
      <c r="C221">
        <v>4</v>
      </c>
      <c r="D221">
        <v>150</v>
      </c>
      <c r="E221">
        <v>1</v>
      </c>
      <c r="F221" t="s">
        <v>412</v>
      </c>
      <c r="G221" t="s">
        <v>413</v>
      </c>
    </row>
    <row r="222" spans="1:7" x14ac:dyDescent="0.45">
      <c r="A222">
        <f>VLOOKUP(C222,'Field Layout'!$B$9:$AJ$35,MATCH(Index!B222,'Field Layout'!$B$8:$AJ$8,0),FALSE)</f>
        <v>1056</v>
      </c>
      <c r="B222">
        <v>9</v>
      </c>
      <c r="C222">
        <v>5</v>
      </c>
      <c r="D222">
        <v>150</v>
      </c>
      <c r="E222">
        <v>1</v>
      </c>
      <c r="F222" t="s">
        <v>414</v>
      </c>
      <c r="G222" t="s">
        <v>415</v>
      </c>
    </row>
    <row r="223" spans="1:7" x14ac:dyDescent="0.45">
      <c r="A223">
        <f>VLOOKUP(C223,'Field Layout'!$B$9:$AJ$35,MATCH(Index!B223,'Field Layout'!$B$8:$AJ$8,0),FALSE)</f>
        <v>1072</v>
      </c>
      <c r="B223">
        <v>9</v>
      </c>
      <c r="C223">
        <v>6</v>
      </c>
      <c r="D223">
        <v>150</v>
      </c>
      <c r="E223">
        <v>1</v>
      </c>
      <c r="F223" t="s">
        <v>416</v>
      </c>
      <c r="G223" t="s">
        <v>417</v>
      </c>
    </row>
    <row r="224" spans="1:7" x14ac:dyDescent="0.45">
      <c r="A224">
        <f>VLOOKUP(C224,'Field Layout'!$B$9:$AJ$35,MATCH(Index!B224,'Field Layout'!$B$8:$AJ$8,0),FALSE)</f>
        <v>1088</v>
      </c>
      <c r="B224">
        <v>9</v>
      </c>
      <c r="C224">
        <v>7</v>
      </c>
      <c r="D224">
        <v>150</v>
      </c>
      <c r="E224">
        <v>1</v>
      </c>
      <c r="F224" t="s">
        <v>418</v>
      </c>
      <c r="G224" t="s">
        <v>419</v>
      </c>
    </row>
    <row r="225" spans="1:7" x14ac:dyDescent="0.45">
      <c r="A225">
        <f>VLOOKUP(C225,'Field Layout'!$B$9:$AJ$35,MATCH(Index!B225,'Field Layout'!$B$8:$AJ$8,0),FALSE)</f>
        <v>1104</v>
      </c>
      <c r="B225">
        <v>9</v>
      </c>
      <c r="C225">
        <v>8</v>
      </c>
      <c r="D225">
        <v>150</v>
      </c>
      <c r="E225">
        <v>1</v>
      </c>
      <c r="F225" t="s">
        <v>420</v>
      </c>
      <c r="G225" t="s">
        <v>421</v>
      </c>
    </row>
    <row r="226" spans="1:7" x14ac:dyDescent="0.45">
      <c r="A226">
        <f>VLOOKUP(C226,'Field Layout'!$B$9:$AJ$35,MATCH(Index!B226,'Field Layout'!$B$8:$AJ$8,0),FALSE)</f>
        <v>1120</v>
      </c>
      <c r="B226">
        <v>9</v>
      </c>
      <c r="C226">
        <v>9</v>
      </c>
      <c r="D226">
        <v>150</v>
      </c>
      <c r="E226">
        <v>1</v>
      </c>
      <c r="F226" t="s">
        <v>422</v>
      </c>
      <c r="G226" t="s">
        <v>423</v>
      </c>
    </row>
    <row r="227" spans="1:7" x14ac:dyDescent="0.45">
      <c r="A227">
        <f>VLOOKUP(C227,'Field Layout'!$B$9:$AJ$35,MATCH(Index!B227,'Field Layout'!$B$8:$AJ$8,0),FALSE)</f>
        <v>1136</v>
      </c>
      <c r="B227">
        <v>9</v>
      </c>
      <c r="C227">
        <v>10</v>
      </c>
      <c r="D227">
        <v>150</v>
      </c>
      <c r="E227">
        <v>1</v>
      </c>
      <c r="F227" t="s">
        <v>424</v>
      </c>
      <c r="G227" t="s">
        <v>425</v>
      </c>
    </row>
    <row r="228" spans="1:7" x14ac:dyDescent="0.45">
      <c r="A228">
        <f>VLOOKUP(C228,'Field Layout'!$B$9:$AJ$35,MATCH(Index!B228,'Field Layout'!$B$8:$AJ$8,0),FALSE)</f>
        <v>1152</v>
      </c>
      <c r="B228">
        <v>9</v>
      </c>
      <c r="C228">
        <v>11</v>
      </c>
      <c r="D228">
        <v>150</v>
      </c>
      <c r="E228">
        <v>1</v>
      </c>
      <c r="F228" t="s">
        <v>426</v>
      </c>
      <c r="G228" t="s">
        <v>427</v>
      </c>
    </row>
    <row r="229" spans="1:7" x14ac:dyDescent="0.45">
      <c r="A229">
        <f>VLOOKUP(C229,'Field Layout'!$B$9:$AJ$35,MATCH(Index!B229,'Field Layout'!$B$8:$AJ$8,0),FALSE)</f>
        <v>1168</v>
      </c>
      <c r="B229">
        <v>9</v>
      </c>
      <c r="C229">
        <v>12</v>
      </c>
      <c r="D229">
        <v>150</v>
      </c>
      <c r="E229">
        <v>1</v>
      </c>
      <c r="F229" t="s">
        <v>428</v>
      </c>
      <c r="G229" t="s">
        <v>429</v>
      </c>
    </row>
    <row r="230" spans="1:7" x14ac:dyDescent="0.45">
      <c r="A230">
        <f>VLOOKUP(C230,'Field Layout'!$B$9:$AJ$35,MATCH(Index!B230,'Field Layout'!$B$8:$AJ$8,0),FALSE)</f>
        <v>1184</v>
      </c>
      <c r="B230">
        <v>9</v>
      </c>
      <c r="C230">
        <v>13</v>
      </c>
      <c r="D230">
        <v>150</v>
      </c>
      <c r="E230">
        <v>1</v>
      </c>
      <c r="F230" t="s">
        <v>430</v>
      </c>
      <c r="G230" t="s">
        <v>431</v>
      </c>
    </row>
    <row r="231" spans="1:7" x14ac:dyDescent="0.45">
      <c r="A231">
        <f>VLOOKUP(C231,'Field Layout'!$B$9:$AJ$35,MATCH(Index!B231,'Field Layout'!$B$8:$AJ$8,0),FALSE)</f>
        <v>1200</v>
      </c>
      <c r="B231">
        <v>9</v>
      </c>
      <c r="C231">
        <v>14</v>
      </c>
      <c r="D231">
        <v>150</v>
      </c>
      <c r="E231">
        <v>1</v>
      </c>
      <c r="F231" t="s">
        <v>432</v>
      </c>
      <c r="G231" t="s">
        <v>433</v>
      </c>
    </row>
    <row r="232" spans="1:7" x14ac:dyDescent="0.45">
      <c r="A232">
        <f>VLOOKUP(C232,'Field Layout'!$B$9:$AJ$35,MATCH(Index!B232,'Field Layout'!$B$8:$AJ$8,0),FALSE)</f>
        <v>1216</v>
      </c>
      <c r="B232">
        <v>9</v>
      </c>
      <c r="C232">
        <v>15</v>
      </c>
      <c r="D232">
        <v>150</v>
      </c>
      <c r="E232">
        <v>1</v>
      </c>
      <c r="F232" t="s">
        <v>434</v>
      </c>
      <c r="G232" t="s">
        <v>435</v>
      </c>
    </row>
    <row r="233" spans="1:7" x14ac:dyDescent="0.45">
      <c r="A233">
        <f>VLOOKUP(C233,'Field Layout'!$B$9:$AJ$35,MATCH(Index!B233,'Field Layout'!$B$8:$AJ$8,0),FALSE)</f>
        <v>1232</v>
      </c>
      <c r="B233">
        <v>9</v>
      </c>
      <c r="C233">
        <v>16</v>
      </c>
      <c r="D233">
        <v>150</v>
      </c>
      <c r="E233">
        <v>1</v>
      </c>
      <c r="F233" t="s">
        <v>436</v>
      </c>
      <c r="G233" t="s">
        <v>437</v>
      </c>
    </row>
    <row r="234" spans="1:7" x14ac:dyDescent="0.45">
      <c r="A234">
        <f>VLOOKUP(C234,'Field Layout'!$B$9:$AJ$35,MATCH(Index!B234,'Field Layout'!$B$8:$AJ$8,0),FALSE)</f>
        <v>1248</v>
      </c>
      <c r="B234">
        <v>9</v>
      </c>
      <c r="C234">
        <v>17</v>
      </c>
      <c r="D234">
        <v>150</v>
      </c>
      <c r="E234">
        <v>1</v>
      </c>
      <c r="F234" t="s">
        <v>438</v>
      </c>
      <c r="G234" t="s">
        <v>439</v>
      </c>
    </row>
    <row r="235" spans="1:7" x14ac:dyDescent="0.45">
      <c r="A235">
        <f>VLOOKUP(C235,'Field Layout'!$B$9:$AJ$35,MATCH(Index!B235,'Field Layout'!$B$8:$AJ$8,0),FALSE)</f>
        <v>1264</v>
      </c>
      <c r="B235">
        <v>9</v>
      </c>
      <c r="C235">
        <v>18</v>
      </c>
      <c r="D235">
        <v>150</v>
      </c>
      <c r="E235">
        <v>1</v>
      </c>
      <c r="F235" t="s">
        <v>440</v>
      </c>
      <c r="G235" t="s">
        <v>441</v>
      </c>
    </row>
    <row r="236" spans="1:7" x14ac:dyDescent="0.45">
      <c r="A236">
        <f>VLOOKUP(C236,'Field Layout'!$B$9:$AJ$35,MATCH(Index!B236,'Field Layout'!$B$8:$AJ$8,0),FALSE)</f>
        <v>1280</v>
      </c>
      <c r="B236">
        <v>9</v>
      </c>
      <c r="C236">
        <v>19</v>
      </c>
      <c r="D236">
        <v>150</v>
      </c>
      <c r="E236">
        <v>1</v>
      </c>
      <c r="F236" t="s">
        <v>442</v>
      </c>
      <c r="G236" t="s">
        <v>443</v>
      </c>
    </row>
    <row r="237" spans="1:7" x14ac:dyDescent="0.45">
      <c r="A237">
        <f>VLOOKUP(C237,'Field Layout'!$B$9:$AJ$35,MATCH(Index!B237,'Field Layout'!$B$8:$AJ$8,0),FALSE)</f>
        <v>1296</v>
      </c>
      <c r="B237">
        <v>9</v>
      </c>
      <c r="C237">
        <v>20</v>
      </c>
      <c r="D237">
        <v>150</v>
      </c>
      <c r="E237">
        <v>1</v>
      </c>
      <c r="F237" t="s">
        <v>444</v>
      </c>
      <c r="G237" t="s">
        <v>445</v>
      </c>
    </row>
    <row r="238" spans="1:7" x14ac:dyDescent="0.45">
      <c r="A238">
        <f>VLOOKUP(C238,'Field Layout'!$B$9:$AJ$35,MATCH(Index!B238,'Field Layout'!$B$8:$AJ$8,0),FALSE)</f>
        <v>1312</v>
      </c>
      <c r="B238">
        <v>9</v>
      </c>
      <c r="C238">
        <v>21</v>
      </c>
      <c r="D238">
        <v>150</v>
      </c>
      <c r="E238">
        <v>1</v>
      </c>
      <c r="F238" t="s">
        <v>446</v>
      </c>
      <c r="G238" t="s">
        <v>447</v>
      </c>
    </row>
    <row r="239" spans="1:7" x14ac:dyDescent="0.45">
      <c r="A239">
        <f>VLOOKUP(C239,'Field Layout'!$B$9:$AJ$35,MATCH(Index!B239,'Field Layout'!$B$8:$AJ$8,0),FALSE)</f>
        <v>1328</v>
      </c>
      <c r="B239">
        <v>9</v>
      </c>
      <c r="C239">
        <v>22</v>
      </c>
      <c r="D239">
        <v>150</v>
      </c>
      <c r="E239">
        <v>1</v>
      </c>
      <c r="F239" t="s">
        <v>448</v>
      </c>
      <c r="G239" t="s">
        <v>449</v>
      </c>
    </row>
    <row r="240" spans="1:7" x14ac:dyDescent="0.45">
      <c r="A240">
        <f>VLOOKUP(C240,'Field Layout'!$B$9:$AJ$35,MATCH(Index!B240,'Field Layout'!$B$8:$AJ$8,0),FALSE)</f>
        <v>1344</v>
      </c>
      <c r="B240">
        <v>9</v>
      </c>
      <c r="C240">
        <v>23</v>
      </c>
      <c r="D240">
        <v>150</v>
      </c>
      <c r="E240">
        <v>1</v>
      </c>
      <c r="F240" t="s">
        <v>118</v>
      </c>
      <c r="G240" t="s">
        <v>119</v>
      </c>
    </row>
    <row r="241" spans="1:7" x14ac:dyDescent="0.45">
      <c r="A241">
        <f>VLOOKUP(C241,'Field Layout'!$B$9:$AJ$35,MATCH(Index!B241,'Field Layout'!$B$8:$AJ$8,0),FALSE)</f>
        <v>1360</v>
      </c>
      <c r="B241">
        <v>9</v>
      </c>
      <c r="C241">
        <v>24</v>
      </c>
      <c r="D241">
        <v>150</v>
      </c>
      <c r="E241">
        <v>1</v>
      </c>
      <c r="F241" t="s">
        <v>450</v>
      </c>
      <c r="G241" t="s">
        <v>451</v>
      </c>
    </row>
    <row r="242" spans="1:7" x14ac:dyDescent="0.45">
      <c r="A242">
        <f>VLOOKUP(C242,'Field Layout'!$B$9:$AJ$35,MATCH(Index!B242,'Field Layout'!$B$8:$AJ$8,0),FALSE)</f>
        <v>1376</v>
      </c>
      <c r="B242">
        <v>9</v>
      </c>
      <c r="C242">
        <v>25</v>
      </c>
      <c r="D242">
        <v>150</v>
      </c>
      <c r="E242">
        <v>1</v>
      </c>
      <c r="F242" t="s">
        <v>452</v>
      </c>
      <c r="G242" t="s">
        <v>453</v>
      </c>
    </row>
    <row r="243" spans="1:7" x14ac:dyDescent="0.45">
      <c r="A243">
        <f>VLOOKUP(C243,'Field Layout'!$B$9:$AJ$35,MATCH(Index!B243,'Field Layout'!$B$8:$AJ$8,0),FALSE)</f>
        <v>1392</v>
      </c>
      <c r="B243">
        <v>9</v>
      </c>
      <c r="C243">
        <v>26</v>
      </c>
      <c r="D243">
        <v>150</v>
      </c>
      <c r="E243">
        <v>1</v>
      </c>
      <c r="F243" t="s">
        <v>454</v>
      </c>
      <c r="G243" t="s">
        <v>455</v>
      </c>
    </row>
    <row r="244" spans="1:7" x14ac:dyDescent="0.45">
      <c r="A244" t="str">
        <f>VLOOKUP(C244,'Field Layout'!$B$9:$AJ$35,MATCH(Index!B244,'Field Layout'!$B$8:$AJ$8,0),FALSE)</f>
        <v>Border</v>
      </c>
      <c r="B244">
        <v>9</v>
      </c>
      <c r="C244">
        <v>27</v>
      </c>
      <c r="D244">
        <v>150</v>
      </c>
      <c r="E244" t="s">
        <v>54</v>
      </c>
      <c r="F244" t="s">
        <v>92</v>
      </c>
      <c r="G244" t="s">
        <v>99</v>
      </c>
    </row>
    <row r="245" spans="1:7" x14ac:dyDescent="0.45">
      <c r="A245" t="str">
        <f>VLOOKUP(C245,'Field Layout'!$B$9:$AJ$35,MATCH(Index!B245,'Field Layout'!$B$8:$AJ$8,0),FALSE)</f>
        <v>Border</v>
      </c>
      <c r="B245">
        <v>10</v>
      </c>
      <c r="C245">
        <v>1</v>
      </c>
      <c r="D245">
        <v>150</v>
      </c>
      <c r="E245" t="s">
        <v>54</v>
      </c>
      <c r="F245" t="s">
        <v>92</v>
      </c>
      <c r="G245" t="s">
        <v>99</v>
      </c>
    </row>
    <row r="246" spans="1:7" x14ac:dyDescent="0.45">
      <c r="A246">
        <f>VLOOKUP(C246,'Field Layout'!$B$9:$AJ$35,MATCH(Index!B246,'Field Layout'!$B$8:$AJ$8,0),FALSE)</f>
        <v>1009</v>
      </c>
      <c r="B246">
        <v>10</v>
      </c>
      <c r="C246">
        <v>2</v>
      </c>
      <c r="D246">
        <v>150</v>
      </c>
      <c r="E246">
        <v>1</v>
      </c>
      <c r="F246" t="s">
        <v>456</v>
      </c>
      <c r="G246" t="s">
        <v>457</v>
      </c>
    </row>
    <row r="247" spans="1:7" x14ac:dyDescent="0.45">
      <c r="A247">
        <f>VLOOKUP(C247,'Field Layout'!$B$9:$AJ$35,MATCH(Index!B247,'Field Layout'!$B$8:$AJ$8,0),FALSE)</f>
        <v>1025</v>
      </c>
      <c r="B247">
        <v>10</v>
      </c>
      <c r="C247">
        <v>3</v>
      </c>
      <c r="D247">
        <v>150</v>
      </c>
      <c r="E247">
        <v>1</v>
      </c>
      <c r="F247" t="s">
        <v>458</v>
      </c>
      <c r="G247" t="s">
        <v>459</v>
      </c>
    </row>
    <row r="248" spans="1:7" x14ac:dyDescent="0.45">
      <c r="A248">
        <f>VLOOKUP(C248,'Field Layout'!$B$9:$AJ$35,MATCH(Index!B248,'Field Layout'!$B$8:$AJ$8,0),FALSE)</f>
        <v>1041</v>
      </c>
      <c r="B248">
        <v>10</v>
      </c>
      <c r="C248">
        <v>4</v>
      </c>
      <c r="D248">
        <v>150</v>
      </c>
      <c r="E248">
        <v>1</v>
      </c>
      <c r="F248" t="s">
        <v>460</v>
      </c>
      <c r="G248" t="s">
        <v>461</v>
      </c>
    </row>
    <row r="249" spans="1:7" x14ac:dyDescent="0.45">
      <c r="A249">
        <f>VLOOKUP(C249,'Field Layout'!$B$9:$AJ$35,MATCH(Index!B249,'Field Layout'!$B$8:$AJ$8,0),FALSE)</f>
        <v>1057</v>
      </c>
      <c r="B249">
        <v>10</v>
      </c>
      <c r="C249">
        <v>5</v>
      </c>
      <c r="D249">
        <v>150</v>
      </c>
      <c r="E249">
        <v>1</v>
      </c>
      <c r="F249" t="s">
        <v>462</v>
      </c>
      <c r="G249" t="s">
        <v>463</v>
      </c>
    </row>
    <row r="250" spans="1:7" x14ac:dyDescent="0.45">
      <c r="A250">
        <f>VLOOKUP(C250,'Field Layout'!$B$9:$AJ$35,MATCH(Index!B250,'Field Layout'!$B$8:$AJ$8,0),FALSE)</f>
        <v>1073</v>
      </c>
      <c r="B250">
        <v>10</v>
      </c>
      <c r="C250">
        <v>6</v>
      </c>
      <c r="D250">
        <v>150</v>
      </c>
      <c r="E250">
        <v>1</v>
      </c>
      <c r="F250" t="s">
        <v>118</v>
      </c>
      <c r="G250" t="s">
        <v>119</v>
      </c>
    </row>
    <row r="251" spans="1:7" x14ac:dyDescent="0.45">
      <c r="A251">
        <f>VLOOKUP(C251,'Field Layout'!$B$9:$AJ$35,MATCH(Index!B251,'Field Layout'!$B$8:$AJ$8,0),FALSE)</f>
        <v>1089</v>
      </c>
      <c r="B251">
        <v>10</v>
      </c>
      <c r="C251">
        <v>7</v>
      </c>
      <c r="D251">
        <v>150</v>
      </c>
      <c r="E251">
        <v>1</v>
      </c>
      <c r="F251" t="s">
        <v>464</v>
      </c>
      <c r="G251" t="s">
        <v>465</v>
      </c>
    </row>
    <row r="252" spans="1:7" x14ac:dyDescent="0.45">
      <c r="A252">
        <f>VLOOKUP(C252,'Field Layout'!$B$9:$AJ$35,MATCH(Index!B252,'Field Layout'!$B$8:$AJ$8,0),FALSE)</f>
        <v>1105</v>
      </c>
      <c r="B252">
        <v>10</v>
      </c>
      <c r="C252">
        <v>8</v>
      </c>
      <c r="D252">
        <v>150</v>
      </c>
      <c r="E252">
        <v>1</v>
      </c>
      <c r="F252" t="s">
        <v>466</v>
      </c>
      <c r="G252" t="s">
        <v>467</v>
      </c>
    </row>
    <row r="253" spans="1:7" x14ac:dyDescent="0.45">
      <c r="A253">
        <f>VLOOKUP(C253,'Field Layout'!$B$9:$AJ$35,MATCH(Index!B253,'Field Layout'!$B$8:$AJ$8,0),FALSE)</f>
        <v>1121</v>
      </c>
      <c r="B253">
        <v>10</v>
      </c>
      <c r="C253">
        <v>9</v>
      </c>
      <c r="D253">
        <v>150</v>
      </c>
      <c r="E253">
        <v>1</v>
      </c>
      <c r="F253" t="s">
        <v>468</v>
      </c>
      <c r="G253" t="s">
        <v>469</v>
      </c>
    </row>
    <row r="254" spans="1:7" x14ac:dyDescent="0.45">
      <c r="A254">
        <f>VLOOKUP(C254,'Field Layout'!$B$9:$AJ$35,MATCH(Index!B254,'Field Layout'!$B$8:$AJ$8,0),FALSE)</f>
        <v>1137</v>
      </c>
      <c r="B254">
        <v>10</v>
      </c>
      <c r="C254">
        <v>10</v>
      </c>
      <c r="D254">
        <v>150</v>
      </c>
      <c r="E254">
        <v>1</v>
      </c>
      <c r="F254" t="s">
        <v>470</v>
      </c>
      <c r="G254" t="s">
        <v>471</v>
      </c>
    </row>
    <row r="255" spans="1:7" x14ac:dyDescent="0.45">
      <c r="A255">
        <f>VLOOKUP(C255,'Field Layout'!$B$9:$AJ$35,MATCH(Index!B255,'Field Layout'!$B$8:$AJ$8,0),FALSE)</f>
        <v>1153</v>
      </c>
      <c r="B255">
        <v>10</v>
      </c>
      <c r="C255">
        <v>11</v>
      </c>
      <c r="D255">
        <v>150</v>
      </c>
      <c r="E255">
        <v>1</v>
      </c>
      <c r="F255" t="s">
        <v>472</v>
      </c>
      <c r="G255" t="s">
        <v>473</v>
      </c>
    </row>
    <row r="256" spans="1:7" x14ac:dyDescent="0.45">
      <c r="A256">
        <f>VLOOKUP(C256,'Field Layout'!$B$9:$AJ$35,MATCH(Index!B256,'Field Layout'!$B$8:$AJ$8,0),FALSE)</f>
        <v>1169</v>
      </c>
      <c r="B256">
        <v>10</v>
      </c>
      <c r="C256">
        <v>12</v>
      </c>
      <c r="D256">
        <v>150</v>
      </c>
      <c r="E256">
        <v>1</v>
      </c>
      <c r="F256" t="s">
        <v>474</v>
      </c>
      <c r="G256" t="s">
        <v>475</v>
      </c>
    </row>
    <row r="257" spans="1:7" x14ac:dyDescent="0.45">
      <c r="A257">
        <f>VLOOKUP(C257,'Field Layout'!$B$9:$AJ$35,MATCH(Index!B257,'Field Layout'!$B$8:$AJ$8,0),FALSE)</f>
        <v>1185</v>
      </c>
      <c r="B257">
        <v>10</v>
      </c>
      <c r="C257">
        <v>13</v>
      </c>
      <c r="D257">
        <v>150</v>
      </c>
      <c r="E257">
        <v>1</v>
      </c>
      <c r="F257" t="s">
        <v>476</v>
      </c>
      <c r="G257" t="s">
        <v>477</v>
      </c>
    </row>
    <row r="258" spans="1:7" x14ac:dyDescent="0.45">
      <c r="A258">
        <f>VLOOKUP(C258,'Field Layout'!$B$9:$AJ$35,MATCH(Index!B258,'Field Layout'!$B$8:$AJ$8,0),FALSE)</f>
        <v>1201</v>
      </c>
      <c r="B258">
        <v>10</v>
      </c>
      <c r="C258">
        <v>14</v>
      </c>
      <c r="D258">
        <v>150</v>
      </c>
      <c r="E258">
        <v>1</v>
      </c>
      <c r="F258" t="s">
        <v>118</v>
      </c>
      <c r="G258" t="s">
        <v>119</v>
      </c>
    </row>
    <row r="259" spans="1:7" x14ac:dyDescent="0.45">
      <c r="A259">
        <f>VLOOKUP(C259,'Field Layout'!$B$9:$AJ$35,MATCH(Index!B259,'Field Layout'!$B$8:$AJ$8,0),FALSE)</f>
        <v>1217</v>
      </c>
      <c r="B259">
        <v>10</v>
      </c>
      <c r="C259">
        <v>15</v>
      </c>
      <c r="D259">
        <v>150</v>
      </c>
      <c r="E259">
        <v>1</v>
      </c>
      <c r="F259" t="s">
        <v>478</v>
      </c>
      <c r="G259" t="s">
        <v>479</v>
      </c>
    </row>
    <row r="260" spans="1:7" x14ac:dyDescent="0.45">
      <c r="A260">
        <f>VLOOKUP(C260,'Field Layout'!$B$9:$AJ$35,MATCH(Index!B260,'Field Layout'!$B$8:$AJ$8,0),FALSE)</f>
        <v>1233</v>
      </c>
      <c r="B260">
        <v>10</v>
      </c>
      <c r="C260">
        <v>16</v>
      </c>
      <c r="D260">
        <v>150</v>
      </c>
      <c r="E260">
        <v>1</v>
      </c>
      <c r="F260" t="s">
        <v>480</v>
      </c>
      <c r="G260" t="s">
        <v>481</v>
      </c>
    </row>
    <row r="261" spans="1:7" x14ac:dyDescent="0.45">
      <c r="A261">
        <f>VLOOKUP(C261,'Field Layout'!$B$9:$AJ$35,MATCH(Index!B261,'Field Layout'!$B$8:$AJ$8,0),FALSE)</f>
        <v>1249</v>
      </c>
      <c r="B261">
        <v>10</v>
      </c>
      <c r="C261">
        <v>17</v>
      </c>
      <c r="D261">
        <v>150</v>
      </c>
      <c r="E261">
        <v>1</v>
      </c>
      <c r="F261" t="s">
        <v>482</v>
      </c>
      <c r="G261" t="s">
        <v>483</v>
      </c>
    </row>
    <row r="262" spans="1:7" x14ac:dyDescent="0.45">
      <c r="A262">
        <f>VLOOKUP(C262,'Field Layout'!$B$9:$AJ$35,MATCH(Index!B262,'Field Layout'!$B$8:$AJ$8,0),FALSE)</f>
        <v>1265</v>
      </c>
      <c r="B262">
        <v>10</v>
      </c>
      <c r="C262">
        <v>18</v>
      </c>
      <c r="D262">
        <v>150</v>
      </c>
      <c r="E262">
        <v>1</v>
      </c>
      <c r="F262" t="s">
        <v>118</v>
      </c>
      <c r="G262" t="s">
        <v>119</v>
      </c>
    </row>
    <row r="263" spans="1:7" x14ac:dyDescent="0.45">
      <c r="A263">
        <f>VLOOKUP(C263,'Field Layout'!$B$9:$AJ$35,MATCH(Index!B263,'Field Layout'!$B$8:$AJ$8,0),FALSE)</f>
        <v>1281</v>
      </c>
      <c r="B263">
        <v>10</v>
      </c>
      <c r="C263">
        <v>19</v>
      </c>
      <c r="D263">
        <v>150</v>
      </c>
      <c r="E263">
        <v>1</v>
      </c>
      <c r="F263" t="s">
        <v>484</v>
      </c>
      <c r="G263" t="s">
        <v>485</v>
      </c>
    </row>
    <row r="264" spans="1:7" x14ac:dyDescent="0.45">
      <c r="A264">
        <f>VLOOKUP(C264,'Field Layout'!$B$9:$AJ$35,MATCH(Index!B264,'Field Layout'!$B$8:$AJ$8,0),FALSE)</f>
        <v>1297</v>
      </c>
      <c r="B264">
        <v>10</v>
      </c>
      <c r="C264">
        <v>20</v>
      </c>
      <c r="D264">
        <v>150</v>
      </c>
      <c r="E264">
        <v>1</v>
      </c>
      <c r="F264" t="s">
        <v>486</v>
      </c>
      <c r="G264" t="s">
        <v>487</v>
      </c>
    </row>
    <row r="265" spans="1:7" x14ac:dyDescent="0.45">
      <c r="A265">
        <f>VLOOKUP(C265,'Field Layout'!$B$9:$AJ$35,MATCH(Index!B265,'Field Layout'!$B$8:$AJ$8,0),FALSE)</f>
        <v>1313</v>
      </c>
      <c r="B265">
        <v>10</v>
      </c>
      <c r="C265">
        <v>21</v>
      </c>
      <c r="D265">
        <v>150</v>
      </c>
      <c r="E265">
        <v>1</v>
      </c>
      <c r="F265" t="s">
        <v>488</v>
      </c>
      <c r="G265" t="s">
        <v>489</v>
      </c>
    </row>
    <row r="266" spans="1:7" x14ac:dyDescent="0.45">
      <c r="A266">
        <f>VLOOKUP(C266,'Field Layout'!$B$9:$AJ$35,MATCH(Index!B266,'Field Layout'!$B$8:$AJ$8,0),FALSE)</f>
        <v>1329</v>
      </c>
      <c r="B266">
        <v>10</v>
      </c>
      <c r="C266">
        <v>22</v>
      </c>
      <c r="D266">
        <v>150</v>
      </c>
      <c r="E266">
        <v>1</v>
      </c>
      <c r="F266" t="s">
        <v>490</v>
      </c>
      <c r="G266" t="s">
        <v>491</v>
      </c>
    </row>
    <row r="267" spans="1:7" x14ac:dyDescent="0.45">
      <c r="A267">
        <f>VLOOKUP(C267,'Field Layout'!$B$9:$AJ$35,MATCH(Index!B267,'Field Layout'!$B$8:$AJ$8,0),FALSE)</f>
        <v>1345</v>
      </c>
      <c r="B267">
        <v>10</v>
      </c>
      <c r="C267">
        <v>23</v>
      </c>
      <c r="D267">
        <v>150</v>
      </c>
      <c r="E267">
        <v>1</v>
      </c>
      <c r="F267" t="s">
        <v>492</v>
      </c>
      <c r="G267" t="s">
        <v>119</v>
      </c>
    </row>
    <row r="268" spans="1:7" x14ac:dyDescent="0.45">
      <c r="A268">
        <f>VLOOKUP(C268,'Field Layout'!$B$9:$AJ$35,MATCH(Index!B268,'Field Layout'!$B$8:$AJ$8,0),FALSE)</f>
        <v>1361</v>
      </c>
      <c r="B268">
        <v>10</v>
      </c>
      <c r="C268">
        <v>24</v>
      </c>
      <c r="D268">
        <v>150</v>
      </c>
      <c r="E268">
        <v>1</v>
      </c>
      <c r="F268" t="s">
        <v>493</v>
      </c>
      <c r="G268" t="s">
        <v>494</v>
      </c>
    </row>
    <row r="269" spans="1:7" x14ac:dyDescent="0.45">
      <c r="A269">
        <f>VLOOKUP(C269,'Field Layout'!$B$9:$AJ$35,MATCH(Index!B269,'Field Layout'!$B$8:$AJ$8,0),FALSE)</f>
        <v>1377</v>
      </c>
      <c r="B269">
        <v>10</v>
      </c>
      <c r="C269">
        <v>25</v>
      </c>
      <c r="D269">
        <v>150</v>
      </c>
      <c r="E269">
        <v>1</v>
      </c>
      <c r="F269" t="s">
        <v>495</v>
      </c>
      <c r="G269" t="s">
        <v>119</v>
      </c>
    </row>
    <row r="270" spans="1:7" x14ac:dyDescent="0.45">
      <c r="A270">
        <f>VLOOKUP(C270,'Field Layout'!$B$9:$AJ$35,MATCH(Index!B270,'Field Layout'!$B$8:$AJ$8,0),FALSE)</f>
        <v>1393</v>
      </c>
      <c r="B270">
        <v>10</v>
      </c>
      <c r="C270">
        <v>26</v>
      </c>
      <c r="D270">
        <v>150</v>
      </c>
      <c r="E270">
        <v>1</v>
      </c>
      <c r="F270" t="s">
        <v>496</v>
      </c>
      <c r="G270" t="s">
        <v>497</v>
      </c>
    </row>
    <row r="271" spans="1:7" x14ac:dyDescent="0.45">
      <c r="A271" t="str">
        <f>VLOOKUP(C271,'Field Layout'!$B$9:$AJ$35,MATCH(Index!B271,'Field Layout'!$B$8:$AJ$8,0),FALSE)</f>
        <v>Border</v>
      </c>
      <c r="B271">
        <v>10</v>
      </c>
      <c r="C271">
        <v>27</v>
      </c>
      <c r="D271">
        <v>150</v>
      </c>
      <c r="E271" t="s">
        <v>54</v>
      </c>
      <c r="F271" t="s">
        <v>92</v>
      </c>
      <c r="G271" t="s">
        <v>99</v>
      </c>
    </row>
    <row r="272" spans="1:7" x14ac:dyDescent="0.45">
      <c r="A272" t="str">
        <f>VLOOKUP(C272,'Field Layout'!$B$9:$AJ$35,MATCH(Index!B272,'Field Layout'!$B$8:$AJ$8,0),FALSE)</f>
        <v>Border</v>
      </c>
      <c r="B272">
        <v>11</v>
      </c>
      <c r="C272">
        <v>1</v>
      </c>
      <c r="D272">
        <v>150</v>
      </c>
      <c r="E272" t="s">
        <v>54</v>
      </c>
      <c r="F272" t="s">
        <v>92</v>
      </c>
      <c r="G272" t="s">
        <v>99</v>
      </c>
    </row>
    <row r="273" spans="1:7" x14ac:dyDescent="0.45">
      <c r="A273">
        <f>VLOOKUP(C273,'Field Layout'!$B$9:$AJ$35,MATCH(Index!B273,'Field Layout'!$B$8:$AJ$8,0),FALSE)</f>
        <v>1010</v>
      </c>
      <c r="B273">
        <v>11</v>
      </c>
      <c r="C273">
        <v>2</v>
      </c>
      <c r="D273">
        <v>150</v>
      </c>
      <c r="E273">
        <v>1</v>
      </c>
      <c r="F273" t="s">
        <v>498</v>
      </c>
      <c r="G273" t="s">
        <v>499</v>
      </c>
    </row>
    <row r="274" spans="1:7" x14ac:dyDescent="0.45">
      <c r="A274">
        <f>VLOOKUP(C274,'Field Layout'!$B$9:$AJ$35,MATCH(Index!B274,'Field Layout'!$B$8:$AJ$8,0),FALSE)</f>
        <v>1026</v>
      </c>
      <c r="B274">
        <v>11</v>
      </c>
      <c r="C274">
        <v>3</v>
      </c>
      <c r="D274">
        <v>150</v>
      </c>
      <c r="E274">
        <v>1</v>
      </c>
      <c r="F274" t="s">
        <v>500</v>
      </c>
      <c r="G274" t="s">
        <v>501</v>
      </c>
    </row>
    <row r="275" spans="1:7" x14ac:dyDescent="0.45">
      <c r="A275">
        <f>VLOOKUP(C275,'Field Layout'!$B$9:$AJ$35,MATCH(Index!B275,'Field Layout'!$B$8:$AJ$8,0),FALSE)</f>
        <v>1042</v>
      </c>
      <c r="B275">
        <v>11</v>
      </c>
      <c r="C275">
        <v>4</v>
      </c>
      <c r="D275">
        <v>150</v>
      </c>
      <c r="E275">
        <v>1</v>
      </c>
      <c r="F275" t="s">
        <v>502</v>
      </c>
      <c r="G275" t="s">
        <v>503</v>
      </c>
    </row>
    <row r="276" spans="1:7" x14ac:dyDescent="0.45">
      <c r="A276">
        <f>VLOOKUP(C276,'Field Layout'!$B$9:$AJ$35,MATCH(Index!B276,'Field Layout'!$B$8:$AJ$8,0),FALSE)</f>
        <v>1058</v>
      </c>
      <c r="B276">
        <v>11</v>
      </c>
      <c r="C276">
        <v>5</v>
      </c>
      <c r="D276">
        <v>150</v>
      </c>
      <c r="E276">
        <v>1</v>
      </c>
      <c r="F276" t="s">
        <v>118</v>
      </c>
      <c r="G276" t="s">
        <v>119</v>
      </c>
    </row>
    <row r="277" spans="1:7" x14ac:dyDescent="0.45">
      <c r="A277">
        <f>VLOOKUP(C277,'Field Layout'!$B$9:$AJ$35,MATCH(Index!B277,'Field Layout'!$B$8:$AJ$8,0),FALSE)</f>
        <v>1074</v>
      </c>
      <c r="B277">
        <v>11</v>
      </c>
      <c r="C277">
        <v>6</v>
      </c>
      <c r="D277">
        <v>150</v>
      </c>
      <c r="E277">
        <v>1</v>
      </c>
      <c r="F277" t="s">
        <v>504</v>
      </c>
      <c r="G277" t="s">
        <v>505</v>
      </c>
    </row>
    <row r="278" spans="1:7" x14ac:dyDescent="0.45">
      <c r="A278">
        <f>VLOOKUP(C278,'Field Layout'!$B$9:$AJ$35,MATCH(Index!B278,'Field Layout'!$B$8:$AJ$8,0),FALSE)</f>
        <v>1090</v>
      </c>
      <c r="B278">
        <v>11</v>
      </c>
      <c r="C278">
        <v>7</v>
      </c>
      <c r="D278">
        <v>150</v>
      </c>
      <c r="E278">
        <v>1</v>
      </c>
      <c r="F278" t="s">
        <v>506</v>
      </c>
      <c r="G278" t="s">
        <v>507</v>
      </c>
    </row>
    <row r="279" spans="1:7" x14ac:dyDescent="0.45">
      <c r="A279">
        <f>VLOOKUP(C279,'Field Layout'!$B$9:$AJ$35,MATCH(Index!B279,'Field Layout'!$B$8:$AJ$8,0),FALSE)</f>
        <v>1106</v>
      </c>
      <c r="B279">
        <v>11</v>
      </c>
      <c r="C279">
        <v>8</v>
      </c>
      <c r="D279">
        <v>150</v>
      </c>
      <c r="E279">
        <v>1</v>
      </c>
      <c r="F279" t="s">
        <v>508</v>
      </c>
      <c r="G279" t="s">
        <v>509</v>
      </c>
    </row>
    <row r="280" spans="1:7" x14ac:dyDescent="0.45">
      <c r="A280">
        <f>VLOOKUP(C280,'Field Layout'!$B$9:$AJ$35,MATCH(Index!B280,'Field Layout'!$B$8:$AJ$8,0),FALSE)</f>
        <v>1122</v>
      </c>
      <c r="B280">
        <v>11</v>
      </c>
      <c r="C280">
        <v>9</v>
      </c>
      <c r="D280">
        <v>150</v>
      </c>
      <c r="E280">
        <v>1</v>
      </c>
      <c r="F280" t="s">
        <v>510</v>
      </c>
      <c r="G280" t="s">
        <v>511</v>
      </c>
    </row>
    <row r="281" spans="1:7" x14ac:dyDescent="0.45">
      <c r="A281">
        <f>VLOOKUP(C281,'Field Layout'!$B$9:$AJ$35,MATCH(Index!B281,'Field Layout'!$B$8:$AJ$8,0),FALSE)</f>
        <v>1138</v>
      </c>
      <c r="B281">
        <v>11</v>
      </c>
      <c r="C281">
        <v>10</v>
      </c>
      <c r="D281">
        <v>150</v>
      </c>
      <c r="E281">
        <v>1</v>
      </c>
      <c r="F281" t="s">
        <v>512</v>
      </c>
      <c r="G281" t="s">
        <v>513</v>
      </c>
    </row>
    <row r="282" spans="1:7" x14ac:dyDescent="0.45">
      <c r="A282">
        <f>VLOOKUP(C282,'Field Layout'!$B$9:$AJ$35,MATCH(Index!B282,'Field Layout'!$B$8:$AJ$8,0),FALSE)</f>
        <v>1154</v>
      </c>
      <c r="B282">
        <v>11</v>
      </c>
      <c r="C282">
        <v>11</v>
      </c>
      <c r="D282">
        <v>150</v>
      </c>
      <c r="E282">
        <v>1</v>
      </c>
      <c r="F282" t="s">
        <v>514</v>
      </c>
      <c r="G282" t="s">
        <v>515</v>
      </c>
    </row>
    <row r="283" spans="1:7" x14ac:dyDescent="0.45">
      <c r="A283">
        <f>VLOOKUP(C283,'Field Layout'!$B$9:$AJ$35,MATCH(Index!B283,'Field Layout'!$B$8:$AJ$8,0),FALSE)</f>
        <v>1170</v>
      </c>
      <c r="B283">
        <v>11</v>
      </c>
      <c r="C283">
        <v>12</v>
      </c>
      <c r="D283">
        <v>150</v>
      </c>
      <c r="E283">
        <v>1</v>
      </c>
      <c r="F283" t="s">
        <v>516</v>
      </c>
      <c r="G283" t="s">
        <v>517</v>
      </c>
    </row>
    <row r="284" spans="1:7" x14ac:dyDescent="0.45">
      <c r="A284">
        <f>VLOOKUP(C284,'Field Layout'!$B$9:$AJ$35,MATCH(Index!B284,'Field Layout'!$B$8:$AJ$8,0),FALSE)</f>
        <v>1186</v>
      </c>
      <c r="B284">
        <v>11</v>
      </c>
      <c r="C284">
        <v>13</v>
      </c>
      <c r="D284">
        <v>150</v>
      </c>
      <c r="E284">
        <v>1</v>
      </c>
      <c r="F284" t="s">
        <v>518</v>
      </c>
      <c r="G284" t="s">
        <v>519</v>
      </c>
    </row>
    <row r="285" spans="1:7" x14ac:dyDescent="0.45">
      <c r="A285">
        <f>VLOOKUP(C285,'Field Layout'!$B$9:$AJ$35,MATCH(Index!B285,'Field Layout'!$B$8:$AJ$8,0),FALSE)</f>
        <v>1202</v>
      </c>
      <c r="B285">
        <v>11</v>
      </c>
      <c r="C285">
        <v>14</v>
      </c>
      <c r="D285">
        <v>150</v>
      </c>
      <c r="E285">
        <v>1</v>
      </c>
      <c r="F285" t="s">
        <v>520</v>
      </c>
      <c r="G285" t="s">
        <v>521</v>
      </c>
    </row>
    <row r="286" spans="1:7" x14ac:dyDescent="0.45">
      <c r="A286">
        <f>VLOOKUP(C286,'Field Layout'!$B$9:$AJ$35,MATCH(Index!B286,'Field Layout'!$B$8:$AJ$8,0),FALSE)</f>
        <v>1218</v>
      </c>
      <c r="B286">
        <v>11</v>
      </c>
      <c r="C286">
        <v>15</v>
      </c>
      <c r="D286">
        <v>150</v>
      </c>
      <c r="E286">
        <v>1</v>
      </c>
      <c r="F286" t="s">
        <v>522</v>
      </c>
      <c r="G286" t="s">
        <v>523</v>
      </c>
    </row>
    <row r="287" spans="1:7" x14ac:dyDescent="0.45">
      <c r="A287">
        <f>VLOOKUP(C287,'Field Layout'!$B$9:$AJ$35,MATCH(Index!B287,'Field Layout'!$B$8:$AJ$8,0),FALSE)</f>
        <v>1234</v>
      </c>
      <c r="B287">
        <v>11</v>
      </c>
      <c r="C287">
        <v>16</v>
      </c>
      <c r="D287">
        <v>150</v>
      </c>
      <c r="E287">
        <v>1</v>
      </c>
      <c r="F287" t="s">
        <v>524</v>
      </c>
      <c r="G287" t="s">
        <v>525</v>
      </c>
    </row>
    <row r="288" spans="1:7" x14ac:dyDescent="0.45">
      <c r="A288">
        <f>VLOOKUP(C288,'Field Layout'!$B$9:$AJ$35,MATCH(Index!B288,'Field Layout'!$B$8:$AJ$8,0),FALSE)</f>
        <v>1250</v>
      </c>
      <c r="B288">
        <v>11</v>
      </c>
      <c r="C288">
        <v>17</v>
      </c>
      <c r="D288">
        <v>150</v>
      </c>
      <c r="E288">
        <v>1</v>
      </c>
      <c r="F288" t="s">
        <v>118</v>
      </c>
      <c r="G288" t="s">
        <v>526</v>
      </c>
    </row>
    <row r="289" spans="1:7" x14ac:dyDescent="0.45">
      <c r="A289">
        <f>VLOOKUP(C289,'Field Layout'!$B$9:$AJ$35,MATCH(Index!B289,'Field Layout'!$B$8:$AJ$8,0),FALSE)</f>
        <v>1266</v>
      </c>
      <c r="B289">
        <v>11</v>
      </c>
      <c r="C289">
        <v>18</v>
      </c>
      <c r="D289">
        <v>150</v>
      </c>
      <c r="E289">
        <v>1</v>
      </c>
      <c r="F289" t="s">
        <v>527</v>
      </c>
      <c r="G289" t="s">
        <v>528</v>
      </c>
    </row>
    <row r="290" spans="1:7" x14ac:dyDescent="0.45">
      <c r="A290">
        <f>VLOOKUP(C290,'Field Layout'!$B$9:$AJ$35,MATCH(Index!B290,'Field Layout'!$B$8:$AJ$8,0),FALSE)</f>
        <v>1282</v>
      </c>
      <c r="B290">
        <v>11</v>
      </c>
      <c r="C290">
        <v>19</v>
      </c>
      <c r="D290">
        <v>150</v>
      </c>
      <c r="E290">
        <v>1</v>
      </c>
      <c r="F290" t="s">
        <v>529</v>
      </c>
      <c r="G290" t="s">
        <v>530</v>
      </c>
    </row>
    <row r="291" spans="1:7" x14ac:dyDescent="0.45">
      <c r="A291">
        <f>VLOOKUP(C291,'Field Layout'!$B$9:$AJ$35,MATCH(Index!B291,'Field Layout'!$B$8:$AJ$8,0),FALSE)</f>
        <v>1298</v>
      </c>
      <c r="B291">
        <v>11</v>
      </c>
      <c r="C291">
        <v>20</v>
      </c>
      <c r="D291">
        <v>150</v>
      </c>
      <c r="E291">
        <v>1</v>
      </c>
      <c r="F291" t="s">
        <v>531</v>
      </c>
      <c r="G291" t="s">
        <v>532</v>
      </c>
    </row>
    <row r="292" spans="1:7" x14ac:dyDescent="0.45">
      <c r="A292">
        <f>VLOOKUP(C292,'Field Layout'!$B$9:$AJ$35,MATCH(Index!B292,'Field Layout'!$B$8:$AJ$8,0),FALSE)</f>
        <v>1314</v>
      </c>
      <c r="B292">
        <v>11</v>
      </c>
      <c r="C292">
        <v>21</v>
      </c>
      <c r="D292">
        <v>150</v>
      </c>
      <c r="E292">
        <v>1</v>
      </c>
      <c r="F292" t="s">
        <v>533</v>
      </c>
      <c r="G292" t="s">
        <v>534</v>
      </c>
    </row>
    <row r="293" spans="1:7" x14ac:dyDescent="0.45">
      <c r="A293">
        <f>VLOOKUP(C293,'Field Layout'!$B$9:$AJ$35,MATCH(Index!B293,'Field Layout'!$B$8:$AJ$8,0),FALSE)</f>
        <v>1330</v>
      </c>
      <c r="B293">
        <v>11</v>
      </c>
      <c r="C293">
        <v>22</v>
      </c>
      <c r="D293">
        <v>150</v>
      </c>
      <c r="E293">
        <v>1</v>
      </c>
      <c r="F293" t="s">
        <v>535</v>
      </c>
      <c r="G293" t="s">
        <v>536</v>
      </c>
    </row>
    <row r="294" spans="1:7" x14ac:dyDescent="0.45">
      <c r="A294">
        <f>VLOOKUP(C294,'Field Layout'!$B$9:$AJ$35,MATCH(Index!B294,'Field Layout'!$B$8:$AJ$8,0),FALSE)</f>
        <v>1346</v>
      </c>
      <c r="B294">
        <v>11</v>
      </c>
      <c r="C294">
        <v>23</v>
      </c>
      <c r="D294">
        <v>150</v>
      </c>
      <c r="E294">
        <v>1</v>
      </c>
      <c r="F294" t="s">
        <v>118</v>
      </c>
      <c r="G294" t="s">
        <v>119</v>
      </c>
    </row>
    <row r="295" spans="1:7" x14ac:dyDescent="0.45">
      <c r="A295">
        <f>VLOOKUP(C295,'Field Layout'!$B$9:$AJ$35,MATCH(Index!B295,'Field Layout'!$B$8:$AJ$8,0),FALSE)</f>
        <v>1362</v>
      </c>
      <c r="B295">
        <v>11</v>
      </c>
      <c r="C295">
        <v>24</v>
      </c>
      <c r="D295">
        <v>150</v>
      </c>
      <c r="E295">
        <v>1</v>
      </c>
      <c r="F295" t="s">
        <v>537</v>
      </c>
      <c r="G295" t="s">
        <v>538</v>
      </c>
    </row>
    <row r="296" spans="1:7" x14ac:dyDescent="0.45">
      <c r="A296">
        <f>VLOOKUP(C296,'Field Layout'!$B$9:$AJ$35,MATCH(Index!B296,'Field Layout'!$B$8:$AJ$8,0),FALSE)</f>
        <v>1378</v>
      </c>
      <c r="B296">
        <v>11</v>
      </c>
      <c r="C296">
        <v>25</v>
      </c>
      <c r="D296">
        <v>150</v>
      </c>
      <c r="E296">
        <v>1</v>
      </c>
      <c r="F296" t="s">
        <v>539</v>
      </c>
      <c r="G296" t="s">
        <v>119</v>
      </c>
    </row>
    <row r="297" spans="1:7" x14ac:dyDescent="0.45">
      <c r="A297">
        <f>VLOOKUP(C297,'Field Layout'!$B$9:$AJ$35,MATCH(Index!B297,'Field Layout'!$B$8:$AJ$8,0),FALSE)</f>
        <v>1394</v>
      </c>
      <c r="B297">
        <v>11</v>
      </c>
      <c r="C297">
        <v>26</v>
      </c>
      <c r="D297">
        <v>150</v>
      </c>
      <c r="E297">
        <v>1</v>
      </c>
      <c r="F297" t="s">
        <v>540</v>
      </c>
      <c r="G297" t="s">
        <v>541</v>
      </c>
    </row>
    <row r="298" spans="1:7" x14ac:dyDescent="0.45">
      <c r="A298" t="str">
        <f>VLOOKUP(C298,'Field Layout'!$B$9:$AJ$35,MATCH(Index!B298,'Field Layout'!$B$8:$AJ$8,0),FALSE)</f>
        <v>Border</v>
      </c>
      <c r="B298">
        <v>11</v>
      </c>
      <c r="C298">
        <v>27</v>
      </c>
      <c r="D298">
        <v>150</v>
      </c>
      <c r="E298" t="s">
        <v>54</v>
      </c>
      <c r="F298" t="s">
        <v>92</v>
      </c>
      <c r="G298" t="s">
        <v>99</v>
      </c>
    </row>
    <row r="299" spans="1:7" x14ac:dyDescent="0.45">
      <c r="A299" t="str">
        <f>VLOOKUP(C299,'Field Layout'!$B$9:$AJ$35,MATCH(Index!B299,'Field Layout'!$B$8:$AJ$8,0),FALSE)</f>
        <v>Border</v>
      </c>
      <c r="B299">
        <v>12</v>
      </c>
      <c r="C299">
        <v>1</v>
      </c>
      <c r="D299">
        <v>150</v>
      </c>
      <c r="E299" t="s">
        <v>54</v>
      </c>
      <c r="F299" t="s">
        <v>92</v>
      </c>
      <c r="G299" t="s">
        <v>99</v>
      </c>
    </row>
    <row r="300" spans="1:7" x14ac:dyDescent="0.45">
      <c r="A300">
        <f>VLOOKUP(C300,'Field Layout'!$B$9:$AJ$35,MATCH(Index!B300,'Field Layout'!$B$8:$AJ$8,0),FALSE)</f>
        <v>1011</v>
      </c>
      <c r="B300">
        <v>12</v>
      </c>
      <c r="C300">
        <v>2</v>
      </c>
      <c r="D300">
        <v>150</v>
      </c>
      <c r="E300">
        <v>1</v>
      </c>
      <c r="F300" t="s">
        <v>542</v>
      </c>
      <c r="G300" t="s">
        <v>543</v>
      </c>
    </row>
    <row r="301" spans="1:7" x14ac:dyDescent="0.45">
      <c r="A301">
        <f>VLOOKUP(C301,'Field Layout'!$B$9:$AJ$35,MATCH(Index!B301,'Field Layout'!$B$8:$AJ$8,0),FALSE)</f>
        <v>1027</v>
      </c>
      <c r="B301">
        <v>12</v>
      </c>
      <c r="C301">
        <v>3</v>
      </c>
      <c r="D301">
        <v>150</v>
      </c>
      <c r="E301">
        <v>1</v>
      </c>
      <c r="F301" t="s">
        <v>544</v>
      </c>
      <c r="G301" t="s">
        <v>545</v>
      </c>
    </row>
    <row r="302" spans="1:7" x14ac:dyDescent="0.45">
      <c r="A302">
        <f>VLOOKUP(C302,'Field Layout'!$B$9:$AJ$35,MATCH(Index!B302,'Field Layout'!$B$8:$AJ$8,0),FALSE)</f>
        <v>1043</v>
      </c>
      <c r="B302">
        <v>12</v>
      </c>
      <c r="C302">
        <v>4</v>
      </c>
      <c r="D302">
        <v>150</v>
      </c>
      <c r="E302">
        <v>1</v>
      </c>
      <c r="F302" t="s">
        <v>118</v>
      </c>
      <c r="G302" t="s">
        <v>119</v>
      </c>
    </row>
    <row r="303" spans="1:7" x14ac:dyDescent="0.45">
      <c r="A303">
        <f>VLOOKUP(C303,'Field Layout'!$B$9:$AJ$35,MATCH(Index!B303,'Field Layout'!$B$8:$AJ$8,0),FALSE)</f>
        <v>1059</v>
      </c>
      <c r="B303">
        <v>12</v>
      </c>
      <c r="C303">
        <v>5</v>
      </c>
      <c r="D303">
        <v>150</v>
      </c>
      <c r="E303">
        <v>1</v>
      </c>
      <c r="F303" t="s">
        <v>118</v>
      </c>
      <c r="G303" t="s">
        <v>119</v>
      </c>
    </row>
    <row r="304" spans="1:7" x14ac:dyDescent="0.45">
      <c r="A304">
        <f>VLOOKUP(C304,'Field Layout'!$B$9:$AJ$35,MATCH(Index!B304,'Field Layout'!$B$8:$AJ$8,0),FALSE)</f>
        <v>1075</v>
      </c>
      <c r="B304">
        <v>12</v>
      </c>
      <c r="C304">
        <v>6</v>
      </c>
      <c r="D304">
        <v>150</v>
      </c>
      <c r="E304">
        <v>1</v>
      </c>
      <c r="F304" t="s">
        <v>307</v>
      </c>
      <c r="G304" t="s">
        <v>119</v>
      </c>
    </row>
    <row r="305" spans="1:7" x14ac:dyDescent="0.45">
      <c r="A305">
        <f>VLOOKUP(C305,'Field Layout'!$B$9:$AJ$35,MATCH(Index!B305,'Field Layout'!$B$8:$AJ$8,0),FALSE)</f>
        <v>1091</v>
      </c>
      <c r="B305">
        <v>12</v>
      </c>
      <c r="C305">
        <v>7</v>
      </c>
      <c r="D305">
        <v>150</v>
      </c>
      <c r="E305">
        <v>1</v>
      </c>
      <c r="F305" t="s">
        <v>546</v>
      </c>
      <c r="G305" t="s">
        <v>547</v>
      </c>
    </row>
    <row r="306" spans="1:7" x14ac:dyDescent="0.45">
      <c r="A306">
        <f>VLOOKUP(C306,'Field Layout'!$B$9:$AJ$35,MATCH(Index!B306,'Field Layout'!$B$8:$AJ$8,0),FALSE)</f>
        <v>1107</v>
      </c>
      <c r="B306">
        <v>12</v>
      </c>
      <c r="C306">
        <v>8</v>
      </c>
      <c r="D306">
        <v>150</v>
      </c>
      <c r="E306">
        <v>1</v>
      </c>
      <c r="F306" t="s">
        <v>548</v>
      </c>
      <c r="G306" t="s">
        <v>549</v>
      </c>
    </row>
    <row r="307" spans="1:7" x14ac:dyDescent="0.45">
      <c r="A307">
        <f>VLOOKUP(C307,'Field Layout'!$B$9:$AJ$35,MATCH(Index!B307,'Field Layout'!$B$8:$AJ$8,0),FALSE)</f>
        <v>1123</v>
      </c>
      <c r="B307">
        <v>12</v>
      </c>
      <c r="C307">
        <v>9</v>
      </c>
      <c r="D307">
        <v>150</v>
      </c>
      <c r="E307">
        <v>1</v>
      </c>
      <c r="F307" t="s">
        <v>550</v>
      </c>
      <c r="G307" t="s">
        <v>551</v>
      </c>
    </row>
    <row r="308" spans="1:7" x14ac:dyDescent="0.45">
      <c r="A308">
        <f>VLOOKUP(C308,'Field Layout'!$B$9:$AJ$35,MATCH(Index!B308,'Field Layout'!$B$8:$AJ$8,0),FALSE)</f>
        <v>1139</v>
      </c>
      <c r="B308">
        <v>12</v>
      </c>
      <c r="C308">
        <v>10</v>
      </c>
      <c r="D308">
        <v>150</v>
      </c>
      <c r="E308">
        <v>1</v>
      </c>
      <c r="F308" t="s">
        <v>552</v>
      </c>
      <c r="G308" t="s">
        <v>553</v>
      </c>
    </row>
    <row r="309" spans="1:7" x14ac:dyDescent="0.45">
      <c r="A309">
        <f>VLOOKUP(C309,'Field Layout'!$B$9:$AJ$35,MATCH(Index!B309,'Field Layout'!$B$8:$AJ$8,0),FALSE)</f>
        <v>1155</v>
      </c>
      <c r="B309">
        <v>12</v>
      </c>
      <c r="C309">
        <v>11</v>
      </c>
      <c r="D309">
        <v>150</v>
      </c>
      <c r="E309">
        <v>1</v>
      </c>
      <c r="F309" t="s">
        <v>554</v>
      </c>
      <c r="G309" t="s">
        <v>555</v>
      </c>
    </row>
    <row r="310" spans="1:7" x14ac:dyDescent="0.45">
      <c r="A310">
        <f>VLOOKUP(C310,'Field Layout'!$B$9:$AJ$35,MATCH(Index!B310,'Field Layout'!$B$8:$AJ$8,0),FALSE)</f>
        <v>1171</v>
      </c>
      <c r="B310">
        <v>12</v>
      </c>
      <c r="C310">
        <v>12</v>
      </c>
      <c r="D310">
        <v>150</v>
      </c>
      <c r="E310">
        <v>1</v>
      </c>
      <c r="F310" t="s">
        <v>556</v>
      </c>
      <c r="G310" t="s">
        <v>557</v>
      </c>
    </row>
    <row r="311" spans="1:7" x14ac:dyDescent="0.45">
      <c r="A311">
        <f>VLOOKUP(C311,'Field Layout'!$B$9:$AJ$35,MATCH(Index!B311,'Field Layout'!$B$8:$AJ$8,0),FALSE)</f>
        <v>1187</v>
      </c>
      <c r="B311">
        <v>12</v>
      </c>
      <c r="C311">
        <v>13</v>
      </c>
      <c r="D311">
        <v>150</v>
      </c>
      <c r="E311">
        <v>1</v>
      </c>
      <c r="F311" t="s">
        <v>558</v>
      </c>
      <c r="G311" t="s">
        <v>559</v>
      </c>
    </row>
    <row r="312" spans="1:7" x14ac:dyDescent="0.45">
      <c r="A312">
        <f>VLOOKUP(C312,'Field Layout'!$B$9:$AJ$35,MATCH(Index!B312,'Field Layout'!$B$8:$AJ$8,0),FALSE)</f>
        <v>1203</v>
      </c>
      <c r="B312">
        <v>12</v>
      </c>
      <c r="C312">
        <v>14</v>
      </c>
      <c r="D312">
        <v>150</v>
      </c>
      <c r="E312">
        <v>1</v>
      </c>
      <c r="F312" t="s">
        <v>560</v>
      </c>
      <c r="G312" t="s">
        <v>561</v>
      </c>
    </row>
    <row r="313" spans="1:7" x14ac:dyDescent="0.45">
      <c r="A313">
        <f>VLOOKUP(C313,'Field Layout'!$B$9:$AJ$35,MATCH(Index!B313,'Field Layout'!$B$8:$AJ$8,0),FALSE)</f>
        <v>1219</v>
      </c>
      <c r="B313">
        <v>12</v>
      </c>
      <c r="C313">
        <v>15</v>
      </c>
      <c r="D313">
        <v>150</v>
      </c>
      <c r="E313">
        <v>1</v>
      </c>
      <c r="F313" t="s">
        <v>562</v>
      </c>
      <c r="G313" t="s">
        <v>563</v>
      </c>
    </row>
    <row r="314" spans="1:7" x14ac:dyDescent="0.45">
      <c r="A314">
        <f>VLOOKUP(C314,'Field Layout'!$B$9:$AJ$35,MATCH(Index!B314,'Field Layout'!$B$8:$AJ$8,0),FALSE)</f>
        <v>1235</v>
      </c>
      <c r="B314">
        <v>12</v>
      </c>
      <c r="C314">
        <v>16</v>
      </c>
      <c r="D314">
        <v>150</v>
      </c>
      <c r="E314">
        <v>1</v>
      </c>
      <c r="F314" t="s">
        <v>118</v>
      </c>
      <c r="G314" t="s">
        <v>119</v>
      </c>
    </row>
    <row r="315" spans="1:7" x14ac:dyDescent="0.45">
      <c r="A315">
        <f>VLOOKUP(C315,'Field Layout'!$B$9:$AJ$35,MATCH(Index!B315,'Field Layout'!$B$8:$AJ$8,0),FALSE)</f>
        <v>1251</v>
      </c>
      <c r="B315">
        <v>12</v>
      </c>
      <c r="C315">
        <v>17</v>
      </c>
      <c r="D315">
        <v>150</v>
      </c>
      <c r="E315">
        <v>1</v>
      </c>
      <c r="F315" t="s">
        <v>564</v>
      </c>
      <c r="G315" t="s">
        <v>565</v>
      </c>
    </row>
    <row r="316" spans="1:7" x14ac:dyDescent="0.45">
      <c r="A316">
        <f>VLOOKUP(C316,'Field Layout'!$B$9:$AJ$35,MATCH(Index!B316,'Field Layout'!$B$8:$AJ$8,0),FALSE)</f>
        <v>1267</v>
      </c>
      <c r="B316">
        <v>12</v>
      </c>
      <c r="C316">
        <v>18</v>
      </c>
      <c r="D316">
        <v>150</v>
      </c>
      <c r="E316">
        <v>1</v>
      </c>
      <c r="F316" t="s">
        <v>566</v>
      </c>
      <c r="G316" t="s">
        <v>567</v>
      </c>
    </row>
    <row r="317" spans="1:7" x14ac:dyDescent="0.45">
      <c r="A317">
        <f>VLOOKUP(C317,'Field Layout'!$B$9:$AJ$35,MATCH(Index!B317,'Field Layout'!$B$8:$AJ$8,0),FALSE)</f>
        <v>1283</v>
      </c>
      <c r="B317">
        <v>12</v>
      </c>
      <c r="C317">
        <v>19</v>
      </c>
      <c r="D317">
        <v>150</v>
      </c>
      <c r="E317">
        <v>1</v>
      </c>
      <c r="F317" t="s">
        <v>568</v>
      </c>
      <c r="G317" t="s">
        <v>569</v>
      </c>
    </row>
    <row r="318" spans="1:7" x14ac:dyDescent="0.45">
      <c r="A318">
        <f>VLOOKUP(C318,'Field Layout'!$B$9:$AJ$35,MATCH(Index!B318,'Field Layout'!$B$8:$AJ$8,0),FALSE)</f>
        <v>1299</v>
      </c>
      <c r="B318">
        <v>12</v>
      </c>
      <c r="C318">
        <v>20</v>
      </c>
      <c r="D318">
        <v>150</v>
      </c>
      <c r="E318">
        <v>1</v>
      </c>
      <c r="F318" t="s">
        <v>570</v>
      </c>
      <c r="G318" t="s">
        <v>571</v>
      </c>
    </row>
    <row r="319" spans="1:7" x14ac:dyDescent="0.45">
      <c r="A319">
        <f>VLOOKUP(C319,'Field Layout'!$B$9:$AJ$35,MATCH(Index!B319,'Field Layout'!$B$8:$AJ$8,0),FALSE)</f>
        <v>1315</v>
      </c>
      <c r="B319">
        <v>12</v>
      </c>
      <c r="C319">
        <v>21</v>
      </c>
      <c r="D319">
        <v>150</v>
      </c>
      <c r="E319">
        <v>1</v>
      </c>
      <c r="F319" t="s">
        <v>572</v>
      </c>
      <c r="G319" t="s">
        <v>573</v>
      </c>
    </row>
    <row r="320" spans="1:7" x14ac:dyDescent="0.45">
      <c r="A320">
        <f>VLOOKUP(C320,'Field Layout'!$B$9:$AJ$35,MATCH(Index!B320,'Field Layout'!$B$8:$AJ$8,0),FALSE)</f>
        <v>1331</v>
      </c>
      <c r="B320">
        <v>12</v>
      </c>
      <c r="C320">
        <v>22</v>
      </c>
      <c r="D320">
        <v>150</v>
      </c>
      <c r="E320">
        <v>1</v>
      </c>
      <c r="F320" t="s">
        <v>574</v>
      </c>
      <c r="G320" t="s">
        <v>575</v>
      </c>
    </row>
    <row r="321" spans="1:7" x14ac:dyDescent="0.45">
      <c r="A321">
        <f>VLOOKUP(C321,'Field Layout'!$B$9:$AJ$35,MATCH(Index!B321,'Field Layout'!$B$8:$AJ$8,0),FALSE)</f>
        <v>1347</v>
      </c>
      <c r="B321">
        <v>12</v>
      </c>
      <c r="C321">
        <v>23</v>
      </c>
      <c r="D321">
        <v>150</v>
      </c>
      <c r="E321">
        <v>1</v>
      </c>
      <c r="F321" t="s">
        <v>576</v>
      </c>
      <c r="G321" t="s">
        <v>577</v>
      </c>
    </row>
    <row r="322" spans="1:7" x14ac:dyDescent="0.45">
      <c r="A322">
        <f>VLOOKUP(C322,'Field Layout'!$B$9:$AJ$35,MATCH(Index!B322,'Field Layout'!$B$8:$AJ$8,0),FALSE)</f>
        <v>1363</v>
      </c>
      <c r="B322">
        <v>12</v>
      </c>
      <c r="C322">
        <v>24</v>
      </c>
      <c r="D322">
        <v>150</v>
      </c>
      <c r="E322">
        <v>1</v>
      </c>
      <c r="F322" t="s">
        <v>118</v>
      </c>
      <c r="G322" t="s">
        <v>119</v>
      </c>
    </row>
    <row r="323" spans="1:7" x14ac:dyDescent="0.45">
      <c r="A323">
        <f>VLOOKUP(C323,'Field Layout'!$B$9:$AJ$35,MATCH(Index!B323,'Field Layout'!$B$8:$AJ$8,0),FALSE)</f>
        <v>1379</v>
      </c>
      <c r="B323">
        <v>12</v>
      </c>
      <c r="C323">
        <v>25</v>
      </c>
      <c r="D323">
        <v>150</v>
      </c>
      <c r="E323">
        <v>1</v>
      </c>
      <c r="F323" t="s">
        <v>578</v>
      </c>
      <c r="G323" t="s">
        <v>579</v>
      </c>
    </row>
    <row r="324" spans="1:7" x14ac:dyDescent="0.45">
      <c r="A324">
        <f>VLOOKUP(C324,'Field Layout'!$B$9:$AJ$35,MATCH(Index!B324,'Field Layout'!$B$8:$AJ$8,0),FALSE)</f>
        <v>1395</v>
      </c>
      <c r="B324">
        <v>12</v>
      </c>
      <c r="C324">
        <v>26</v>
      </c>
      <c r="D324">
        <v>150</v>
      </c>
      <c r="E324">
        <v>1</v>
      </c>
      <c r="F324" t="s">
        <v>580</v>
      </c>
      <c r="G324" t="s">
        <v>581</v>
      </c>
    </row>
    <row r="325" spans="1:7" x14ac:dyDescent="0.45">
      <c r="A325" t="str">
        <f>VLOOKUP(C325,'Field Layout'!$B$9:$AJ$35,MATCH(Index!B325,'Field Layout'!$B$8:$AJ$8,0),FALSE)</f>
        <v>Border</v>
      </c>
      <c r="B325">
        <v>12</v>
      </c>
      <c r="C325">
        <v>27</v>
      </c>
      <c r="D325">
        <v>150</v>
      </c>
      <c r="E325" t="s">
        <v>54</v>
      </c>
      <c r="F325" t="s">
        <v>92</v>
      </c>
      <c r="G325" t="s">
        <v>99</v>
      </c>
    </row>
    <row r="326" spans="1:7" x14ac:dyDescent="0.45">
      <c r="A326" t="str">
        <f>VLOOKUP(C326,'Field Layout'!$B$9:$AJ$35,MATCH(Index!B326,'Field Layout'!$B$8:$AJ$8,0),FALSE)</f>
        <v>Border</v>
      </c>
      <c r="B326">
        <v>13</v>
      </c>
      <c r="C326">
        <v>1</v>
      </c>
      <c r="D326">
        <v>150</v>
      </c>
      <c r="E326" t="s">
        <v>54</v>
      </c>
      <c r="F326" t="s">
        <v>92</v>
      </c>
      <c r="G326" t="s">
        <v>99</v>
      </c>
    </row>
    <row r="327" spans="1:7" x14ac:dyDescent="0.45">
      <c r="A327">
        <f>VLOOKUP(C327,'Field Layout'!$B$9:$AJ$35,MATCH(Index!B327,'Field Layout'!$B$8:$AJ$8,0),FALSE)</f>
        <v>1012</v>
      </c>
      <c r="B327">
        <v>13</v>
      </c>
      <c r="C327">
        <v>2</v>
      </c>
      <c r="D327">
        <v>150</v>
      </c>
      <c r="E327">
        <v>1</v>
      </c>
      <c r="F327" t="s">
        <v>582</v>
      </c>
      <c r="G327" t="s">
        <v>583</v>
      </c>
    </row>
    <row r="328" spans="1:7" x14ac:dyDescent="0.45">
      <c r="A328">
        <f>VLOOKUP(C328,'Field Layout'!$B$9:$AJ$35,MATCH(Index!B328,'Field Layout'!$B$8:$AJ$8,0),FALSE)</f>
        <v>1028</v>
      </c>
      <c r="B328">
        <v>13</v>
      </c>
      <c r="C328">
        <v>3</v>
      </c>
      <c r="D328">
        <v>150</v>
      </c>
      <c r="E328">
        <v>1</v>
      </c>
      <c r="F328" t="s">
        <v>584</v>
      </c>
      <c r="G328" t="s">
        <v>585</v>
      </c>
    </row>
    <row r="329" spans="1:7" x14ac:dyDescent="0.45">
      <c r="A329">
        <f>VLOOKUP(C329,'Field Layout'!$B$9:$AJ$35,MATCH(Index!B329,'Field Layout'!$B$8:$AJ$8,0),FALSE)</f>
        <v>1044</v>
      </c>
      <c r="B329">
        <v>13</v>
      </c>
      <c r="C329">
        <v>4</v>
      </c>
      <c r="D329">
        <v>150</v>
      </c>
      <c r="E329">
        <v>1</v>
      </c>
      <c r="F329" t="s">
        <v>586</v>
      </c>
      <c r="G329" t="s">
        <v>587</v>
      </c>
    </row>
    <row r="330" spans="1:7" x14ac:dyDescent="0.45">
      <c r="A330">
        <f>VLOOKUP(C330,'Field Layout'!$B$9:$AJ$35,MATCH(Index!B330,'Field Layout'!$B$8:$AJ$8,0),FALSE)</f>
        <v>1060</v>
      </c>
      <c r="B330">
        <v>13</v>
      </c>
      <c r="C330">
        <v>5</v>
      </c>
      <c r="D330">
        <v>150</v>
      </c>
      <c r="E330">
        <v>1</v>
      </c>
      <c r="F330" t="s">
        <v>588</v>
      </c>
      <c r="G330" t="s">
        <v>589</v>
      </c>
    </row>
    <row r="331" spans="1:7" x14ac:dyDescent="0.45">
      <c r="A331">
        <f>VLOOKUP(C331,'Field Layout'!$B$9:$AJ$35,MATCH(Index!B331,'Field Layout'!$B$8:$AJ$8,0),FALSE)</f>
        <v>1076</v>
      </c>
      <c r="B331">
        <v>13</v>
      </c>
      <c r="C331">
        <v>6</v>
      </c>
      <c r="D331">
        <v>150</v>
      </c>
      <c r="E331">
        <v>1</v>
      </c>
      <c r="F331" t="s">
        <v>590</v>
      </c>
      <c r="G331" t="s">
        <v>591</v>
      </c>
    </row>
    <row r="332" spans="1:7" x14ac:dyDescent="0.45">
      <c r="A332">
        <f>VLOOKUP(C332,'Field Layout'!$B$9:$AJ$35,MATCH(Index!B332,'Field Layout'!$B$8:$AJ$8,0),FALSE)</f>
        <v>1092</v>
      </c>
      <c r="B332">
        <v>13</v>
      </c>
      <c r="C332">
        <v>7</v>
      </c>
      <c r="D332">
        <v>150</v>
      </c>
      <c r="E332">
        <v>1</v>
      </c>
      <c r="F332" t="s">
        <v>592</v>
      </c>
      <c r="G332" t="s">
        <v>593</v>
      </c>
    </row>
    <row r="333" spans="1:7" x14ac:dyDescent="0.45">
      <c r="A333">
        <f>VLOOKUP(C333,'Field Layout'!$B$9:$AJ$35,MATCH(Index!B333,'Field Layout'!$B$8:$AJ$8,0),FALSE)</f>
        <v>1108</v>
      </c>
      <c r="B333">
        <v>13</v>
      </c>
      <c r="C333">
        <v>8</v>
      </c>
      <c r="D333">
        <v>150</v>
      </c>
      <c r="E333">
        <v>1</v>
      </c>
      <c r="F333" t="s">
        <v>594</v>
      </c>
      <c r="G333" t="s">
        <v>595</v>
      </c>
    </row>
    <row r="334" spans="1:7" x14ac:dyDescent="0.45">
      <c r="A334">
        <f>VLOOKUP(C334,'Field Layout'!$B$9:$AJ$35,MATCH(Index!B334,'Field Layout'!$B$8:$AJ$8,0),FALSE)</f>
        <v>1124</v>
      </c>
      <c r="B334">
        <v>13</v>
      </c>
      <c r="C334">
        <v>9</v>
      </c>
      <c r="D334">
        <v>150</v>
      </c>
      <c r="E334">
        <v>1</v>
      </c>
      <c r="F334" t="s">
        <v>596</v>
      </c>
      <c r="G334" t="s">
        <v>597</v>
      </c>
    </row>
    <row r="335" spans="1:7" x14ac:dyDescent="0.45">
      <c r="A335">
        <f>VLOOKUP(C335,'Field Layout'!$B$9:$AJ$35,MATCH(Index!B335,'Field Layout'!$B$8:$AJ$8,0),FALSE)</f>
        <v>1140</v>
      </c>
      <c r="B335">
        <v>13</v>
      </c>
      <c r="C335">
        <v>10</v>
      </c>
      <c r="D335">
        <v>150</v>
      </c>
      <c r="E335">
        <v>1</v>
      </c>
      <c r="F335" t="s">
        <v>598</v>
      </c>
      <c r="G335" t="s">
        <v>599</v>
      </c>
    </row>
    <row r="336" spans="1:7" x14ac:dyDescent="0.45">
      <c r="A336">
        <f>VLOOKUP(C336,'Field Layout'!$B$9:$AJ$35,MATCH(Index!B336,'Field Layout'!$B$8:$AJ$8,0),FALSE)</f>
        <v>1156</v>
      </c>
      <c r="B336">
        <v>13</v>
      </c>
      <c r="C336">
        <v>11</v>
      </c>
      <c r="D336">
        <v>150</v>
      </c>
      <c r="E336">
        <v>1</v>
      </c>
      <c r="F336" t="s">
        <v>600</v>
      </c>
      <c r="G336" t="s">
        <v>601</v>
      </c>
    </row>
    <row r="337" spans="1:7" x14ac:dyDescent="0.45">
      <c r="A337">
        <f>VLOOKUP(C337,'Field Layout'!$B$9:$AJ$35,MATCH(Index!B337,'Field Layout'!$B$8:$AJ$8,0),FALSE)</f>
        <v>1172</v>
      </c>
      <c r="B337">
        <v>13</v>
      </c>
      <c r="C337">
        <v>12</v>
      </c>
      <c r="D337">
        <v>150</v>
      </c>
      <c r="E337">
        <v>1</v>
      </c>
      <c r="F337" t="s">
        <v>602</v>
      </c>
      <c r="G337" t="s">
        <v>603</v>
      </c>
    </row>
    <row r="338" spans="1:7" x14ac:dyDescent="0.45">
      <c r="A338">
        <f>VLOOKUP(C338,'Field Layout'!$B$9:$AJ$35,MATCH(Index!B338,'Field Layout'!$B$8:$AJ$8,0),FALSE)</f>
        <v>1188</v>
      </c>
      <c r="B338">
        <v>13</v>
      </c>
      <c r="C338">
        <v>13</v>
      </c>
      <c r="D338">
        <v>150</v>
      </c>
      <c r="E338">
        <v>1</v>
      </c>
      <c r="F338" t="s">
        <v>604</v>
      </c>
      <c r="G338" t="s">
        <v>605</v>
      </c>
    </row>
    <row r="339" spans="1:7" x14ac:dyDescent="0.45">
      <c r="A339">
        <f>VLOOKUP(C339,'Field Layout'!$B$9:$AJ$35,MATCH(Index!B339,'Field Layout'!$B$8:$AJ$8,0),FALSE)</f>
        <v>1204</v>
      </c>
      <c r="B339">
        <v>13</v>
      </c>
      <c r="C339">
        <v>14</v>
      </c>
      <c r="D339">
        <v>150</v>
      </c>
      <c r="E339">
        <v>1</v>
      </c>
      <c r="F339" t="s">
        <v>606</v>
      </c>
      <c r="G339" t="s">
        <v>607</v>
      </c>
    </row>
    <row r="340" spans="1:7" x14ac:dyDescent="0.45">
      <c r="A340">
        <f>VLOOKUP(C340,'Field Layout'!$B$9:$AJ$35,MATCH(Index!B340,'Field Layout'!$B$8:$AJ$8,0),FALSE)</f>
        <v>1220</v>
      </c>
      <c r="B340">
        <v>13</v>
      </c>
      <c r="C340">
        <v>15</v>
      </c>
      <c r="D340">
        <v>150</v>
      </c>
      <c r="E340">
        <v>1</v>
      </c>
      <c r="F340" t="s">
        <v>118</v>
      </c>
      <c r="G340" t="s">
        <v>119</v>
      </c>
    </row>
    <row r="341" spans="1:7" x14ac:dyDescent="0.45">
      <c r="A341">
        <f>VLOOKUP(C341,'Field Layout'!$B$9:$AJ$35,MATCH(Index!B341,'Field Layout'!$B$8:$AJ$8,0),FALSE)</f>
        <v>1236</v>
      </c>
      <c r="B341">
        <v>13</v>
      </c>
      <c r="C341">
        <v>16</v>
      </c>
      <c r="D341">
        <v>150</v>
      </c>
      <c r="E341">
        <v>1</v>
      </c>
      <c r="F341" t="s">
        <v>608</v>
      </c>
      <c r="G341" t="s">
        <v>609</v>
      </c>
    </row>
    <row r="342" spans="1:7" x14ac:dyDescent="0.45">
      <c r="A342">
        <f>VLOOKUP(C342,'Field Layout'!$B$9:$AJ$35,MATCH(Index!B342,'Field Layout'!$B$8:$AJ$8,0),FALSE)</f>
        <v>1252</v>
      </c>
      <c r="B342">
        <v>13</v>
      </c>
      <c r="C342">
        <v>17</v>
      </c>
      <c r="D342">
        <v>150</v>
      </c>
      <c r="E342">
        <v>1</v>
      </c>
      <c r="F342" t="s">
        <v>610</v>
      </c>
      <c r="G342" t="s">
        <v>611</v>
      </c>
    </row>
    <row r="343" spans="1:7" x14ac:dyDescent="0.45">
      <c r="A343">
        <f>VLOOKUP(C343,'Field Layout'!$B$9:$AJ$35,MATCH(Index!B343,'Field Layout'!$B$8:$AJ$8,0),FALSE)</f>
        <v>1268</v>
      </c>
      <c r="B343">
        <v>13</v>
      </c>
      <c r="C343">
        <v>18</v>
      </c>
      <c r="D343">
        <v>150</v>
      </c>
      <c r="E343">
        <v>1</v>
      </c>
      <c r="F343" t="s">
        <v>612</v>
      </c>
      <c r="G343" t="s">
        <v>613</v>
      </c>
    </row>
    <row r="344" spans="1:7" x14ac:dyDescent="0.45">
      <c r="A344">
        <f>VLOOKUP(C344,'Field Layout'!$B$9:$AJ$35,MATCH(Index!B344,'Field Layout'!$B$8:$AJ$8,0),FALSE)</f>
        <v>1284</v>
      </c>
      <c r="B344">
        <v>13</v>
      </c>
      <c r="C344">
        <v>19</v>
      </c>
      <c r="D344">
        <v>150</v>
      </c>
      <c r="E344">
        <v>1</v>
      </c>
      <c r="F344" t="s">
        <v>614</v>
      </c>
      <c r="G344" t="s">
        <v>615</v>
      </c>
    </row>
    <row r="345" spans="1:7" x14ac:dyDescent="0.45">
      <c r="A345">
        <f>VLOOKUP(C345,'Field Layout'!$B$9:$AJ$35,MATCH(Index!B345,'Field Layout'!$B$8:$AJ$8,0),FALSE)</f>
        <v>1300</v>
      </c>
      <c r="B345">
        <v>13</v>
      </c>
      <c r="C345">
        <v>20</v>
      </c>
      <c r="D345">
        <v>150</v>
      </c>
      <c r="E345">
        <v>1</v>
      </c>
      <c r="F345" t="s">
        <v>616</v>
      </c>
      <c r="G345" t="s">
        <v>617</v>
      </c>
    </row>
    <row r="346" spans="1:7" x14ac:dyDescent="0.45">
      <c r="A346">
        <f>VLOOKUP(C346,'Field Layout'!$B$9:$AJ$35,MATCH(Index!B346,'Field Layout'!$B$8:$AJ$8,0),FALSE)</f>
        <v>1316</v>
      </c>
      <c r="B346">
        <v>13</v>
      </c>
      <c r="C346">
        <v>21</v>
      </c>
      <c r="D346">
        <v>150</v>
      </c>
      <c r="E346">
        <v>1</v>
      </c>
      <c r="F346" t="s">
        <v>618</v>
      </c>
      <c r="G346" t="s">
        <v>619</v>
      </c>
    </row>
    <row r="347" spans="1:7" x14ac:dyDescent="0.45">
      <c r="A347">
        <f>VLOOKUP(C347,'Field Layout'!$B$9:$AJ$35,MATCH(Index!B347,'Field Layout'!$B$8:$AJ$8,0),FALSE)</f>
        <v>1332</v>
      </c>
      <c r="B347">
        <v>13</v>
      </c>
      <c r="C347">
        <v>22</v>
      </c>
      <c r="D347">
        <v>150</v>
      </c>
      <c r="E347">
        <v>1</v>
      </c>
      <c r="F347" t="s">
        <v>620</v>
      </c>
      <c r="G347" t="s">
        <v>621</v>
      </c>
    </row>
    <row r="348" spans="1:7" x14ac:dyDescent="0.45">
      <c r="A348">
        <f>VLOOKUP(C348,'Field Layout'!$B$9:$AJ$35,MATCH(Index!B348,'Field Layout'!$B$8:$AJ$8,0),FALSE)</f>
        <v>1348</v>
      </c>
      <c r="B348">
        <v>13</v>
      </c>
      <c r="C348">
        <v>23</v>
      </c>
      <c r="D348">
        <v>150</v>
      </c>
      <c r="E348">
        <v>1</v>
      </c>
      <c r="F348" t="s">
        <v>622</v>
      </c>
      <c r="G348" t="s">
        <v>119</v>
      </c>
    </row>
    <row r="349" spans="1:7" x14ac:dyDescent="0.45">
      <c r="A349">
        <f>VLOOKUP(C349,'Field Layout'!$B$9:$AJ$35,MATCH(Index!B349,'Field Layout'!$B$8:$AJ$8,0),FALSE)</f>
        <v>1364</v>
      </c>
      <c r="B349">
        <v>13</v>
      </c>
      <c r="C349">
        <v>24</v>
      </c>
      <c r="D349">
        <v>150</v>
      </c>
      <c r="E349">
        <v>1</v>
      </c>
      <c r="F349" t="s">
        <v>623</v>
      </c>
      <c r="G349" t="s">
        <v>119</v>
      </c>
    </row>
    <row r="350" spans="1:7" x14ac:dyDescent="0.45">
      <c r="A350">
        <f>VLOOKUP(C350,'Field Layout'!$B$9:$AJ$35,MATCH(Index!B350,'Field Layout'!$B$8:$AJ$8,0),FALSE)</f>
        <v>1380</v>
      </c>
      <c r="B350">
        <v>13</v>
      </c>
      <c r="C350">
        <v>25</v>
      </c>
      <c r="D350">
        <v>150</v>
      </c>
      <c r="E350">
        <v>1</v>
      </c>
      <c r="F350" t="s">
        <v>624</v>
      </c>
      <c r="G350" t="s">
        <v>625</v>
      </c>
    </row>
    <row r="351" spans="1:7" x14ac:dyDescent="0.45">
      <c r="A351">
        <f>VLOOKUP(C351,'Field Layout'!$B$9:$AJ$35,MATCH(Index!B351,'Field Layout'!$B$8:$AJ$8,0),FALSE)</f>
        <v>1396</v>
      </c>
      <c r="B351">
        <v>13</v>
      </c>
      <c r="C351">
        <v>26</v>
      </c>
      <c r="D351">
        <v>150</v>
      </c>
      <c r="E351">
        <v>1</v>
      </c>
      <c r="F351" t="s">
        <v>626</v>
      </c>
      <c r="G351" t="s">
        <v>627</v>
      </c>
    </row>
    <row r="352" spans="1:7" x14ac:dyDescent="0.45">
      <c r="A352" t="str">
        <f>VLOOKUP(C352,'Field Layout'!$B$9:$AJ$35,MATCH(Index!B352,'Field Layout'!$B$8:$AJ$8,0),FALSE)</f>
        <v>Border</v>
      </c>
      <c r="B352">
        <v>13</v>
      </c>
      <c r="C352">
        <v>27</v>
      </c>
      <c r="D352">
        <v>150</v>
      </c>
      <c r="E352" t="s">
        <v>54</v>
      </c>
      <c r="F352" t="s">
        <v>92</v>
      </c>
      <c r="G352" t="s">
        <v>99</v>
      </c>
    </row>
    <row r="353" spans="1:7" x14ac:dyDescent="0.45">
      <c r="A353" t="str">
        <f>VLOOKUP(C353,'Field Layout'!$B$9:$AJ$35,MATCH(Index!B353,'Field Layout'!$B$8:$AJ$8,0),FALSE)</f>
        <v>Border</v>
      </c>
      <c r="B353">
        <v>14</v>
      </c>
      <c r="C353">
        <v>1</v>
      </c>
      <c r="D353">
        <v>150</v>
      </c>
      <c r="E353" t="s">
        <v>54</v>
      </c>
      <c r="F353" t="s">
        <v>92</v>
      </c>
      <c r="G353" t="s">
        <v>99</v>
      </c>
    </row>
    <row r="354" spans="1:7" x14ac:dyDescent="0.45">
      <c r="A354">
        <f>VLOOKUP(C354,'Field Layout'!$B$9:$AJ$35,MATCH(Index!B354,'Field Layout'!$B$8:$AJ$8,0),FALSE)</f>
        <v>1013</v>
      </c>
      <c r="B354">
        <v>14</v>
      </c>
      <c r="C354">
        <v>2</v>
      </c>
      <c r="D354">
        <v>150</v>
      </c>
      <c r="E354">
        <v>1</v>
      </c>
      <c r="F354" t="s">
        <v>628</v>
      </c>
      <c r="G354" t="s">
        <v>629</v>
      </c>
    </row>
    <row r="355" spans="1:7" x14ac:dyDescent="0.45">
      <c r="A355">
        <f>VLOOKUP(C355,'Field Layout'!$B$9:$AJ$35,MATCH(Index!B355,'Field Layout'!$B$8:$AJ$8,0),FALSE)</f>
        <v>1029</v>
      </c>
      <c r="B355">
        <v>14</v>
      </c>
      <c r="C355">
        <v>3</v>
      </c>
      <c r="D355">
        <v>150</v>
      </c>
      <c r="E355">
        <v>1</v>
      </c>
      <c r="F355" t="s">
        <v>630</v>
      </c>
      <c r="G355" t="s">
        <v>631</v>
      </c>
    </row>
    <row r="356" spans="1:7" x14ac:dyDescent="0.45">
      <c r="A356">
        <f>VLOOKUP(C356,'Field Layout'!$B$9:$AJ$35,MATCH(Index!B356,'Field Layout'!$B$8:$AJ$8,0),FALSE)</f>
        <v>1045</v>
      </c>
      <c r="B356">
        <v>14</v>
      </c>
      <c r="C356">
        <v>4</v>
      </c>
      <c r="D356">
        <v>150</v>
      </c>
      <c r="E356">
        <v>1</v>
      </c>
      <c r="F356" t="s">
        <v>632</v>
      </c>
      <c r="G356" t="s">
        <v>633</v>
      </c>
    </row>
    <row r="357" spans="1:7" x14ac:dyDescent="0.45">
      <c r="A357">
        <f>VLOOKUP(C357,'Field Layout'!$B$9:$AJ$35,MATCH(Index!B357,'Field Layout'!$B$8:$AJ$8,0),FALSE)</f>
        <v>1061</v>
      </c>
      <c r="B357">
        <v>14</v>
      </c>
      <c r="C357">
        <v>5</v>
      </c>
      <c r="D357">
        <v>150</v>
      </c>
      <c r="E357">
        <v>1</v>
      </c>
      <c r="F357" t="s">
        <v>634</v>
      </c>
      <c r="G357" t="s">
        <v>635</v>
      </c>
    </row>
    <row r="358" spans="1:7" x14ac:dyDescent="0.45">
      <c r="A358">
        <f>VLOOKUP(C358,'Field Layout'!$B$9:$AJ$35,MATCH(Index!B358,'Field Layout'!$B$8:$AJ$8,0),FALSE)</f>
        <v>1077</v>
      </c>
      <c r="B358">
        <v>14</v>
      </c>
      <c r="C358">
        <v>6</v>
      </c>
      <c r="D358">
        <v>150</v>
      </c>
      <c r="E358">
        <v>1</v>
      </c>
      <c r="F358" t="s">
        <v>636</v>
      </c>
      <c r="G358" t="s">
        <v>637</v>
      </c>
    </row>
    <row r="359" spans="1:7" x14ac:dyDescent="0.45">
      <c r="A359">
        <f>VLOOKUP(C359,'Field Layout'!$B$9:$AJ$35,MATCH(Index!B359,'Field Layout'!$B$8:$AJ$8,0),FALSE)</f>
        <v>1093</v>
      </c>
      <c r="B359">
        <v>14</v>
      </c>
      <c r="C359">
        <v>7</v>
      </c>
      <c r="D359">
        <v>150</v>
      </c>
      <c r="E359">
        <v>1</v>
      </c>
      <c r="F359" t="s">
        <v>638</v>
      </c>
      <c r="G359" t="s">
        <v>639</v>
      </c>
    </row>
    <row r="360" spans="1:7" x14ac:dyDescent="0.45">
      <c r="A360">
        <f>VLOOKUP(C360,'Field Layout'!$B$9:$AJ$35,MATCH(Index!B360,'Field Layout'!$B$8:$AJ$8,0),FALSE)</f>
        <v>1109</v>
      </c>
      <c r="B360">
        <v>14</v>
      </c>
      <c r="C360">
        <v>8</v>
      </c>
      <c r="D360">
        <v>150</v>
      </c>
      <c r="E360">
        <v>1</v>
      </c>
      <c r="F360" t="s">
        <v>640</v>
      </c>
      <c r="G360" t="s">
        <v>641</v>
      </c>
    </row>
    <row r="361" spans="1:7" x14ac:dyDescent="0.45">
      <c r="A361">
        <f>VLOOKUP(C361,'Field Layout'!$B$9:$AJ$35,MATCH(Index!B361,'Field Layout'!$B$8:$AJ$8,0),FALSE)</f>
        <v>1125</v>
      </c>
      <c r="B361">
        <v>14</v>
      </c>
      <c r="C361">
        <v>9</v>
      </c>
      <c r="D361">
        <v>150</v>
      </c>
      <c r="E361">
        <v>1</v>
      </c>
      <c r="F361" t="s">
        <v>642</v>
      </c>
      <c r="G361" t="s">
        <v>643</v>
      </c>
    </row>
    <row r="362" spans="1:7" x14ac:dyDescent="0.45">
      <c r="A362">
        <f>VLOOKUP(C362,'Field Layout'!$B$9:$AJ$35,MATCH(Index!B362,'Field Layout'!$B$8:$AJ$8,0),FALSE)</f>
        <v>1141</v>
      </c>
      <c r="B362">
        <v>14</v>
      </c>
      <c r="C362">
        <v>10</v>
      </c>
      <c r="D362">
        <v>150</v>
      </c>
      <c r="E362">
        <v>1</v>
      </c>
      <c r="F362" t="s">
        <v>644</v>
      </c>
      <c r="G362" t="s">
        <v>645</v>
      </c>
    </row>
    <row r="363" spans="1:7" x14ac:dyDescent="0.45">
      <c r="A363">
        <f>VLOOKUP(C363,'Field Layout'!$B$9:$AJ$35,MATCH(Index!B363,'Field Layout'!$B$8:$AJ$8,0),FALSE)</f>
        <v>1157</v>
      </c>
      <c r="B363">
        <v>14</v>
      </c>
      <c r="C363">
        <v>11</v>
      </c>
      <c r="D363">
        <v>150</v>
      </c>
      <c r="E363">
        <v>1</v>
      </c>
      <c r="F363" t="s">
        <v>646</v>
      </c>
      <c r="G363" t="s">
        <v>647</v>
      </c>
    </row>
    <row r="364" spans="1:7" x14ac:dyDescent="0.45">
      <c r="A364">
        <f>VLOOKUP(C364,'Field Layout'!$B$9:$AJ$35,MATCH(Index!B364,'Field Layout'!$B$8:$AJ$8,0),FALSE)</f>
        <v>1173</v>
      </c>
      <c r="B364">
        <v>14</v>
      </c>
      <c r="C364">
        <v>12</v>
      </c>
      <c r="D364">
        <v>150</v>
      </c>
      <c r="E364">
        <v>1</v>
      </c>
      <c r="F364" t="s">
        <v>648</v>
      </c>
      <c r="G364" t="s">
        <v>649</v>
      </c>
    </row>
    <row r="365" spans="1:7" x14ac:dyDescent="0.45">
      <c r="A365">
        <f>VLOOKUP(C365,'Field Layout'!$B$9:$AJ$35,MATCH(Index!B365,'Field Layout'!$B$8:$AJ$8,0),FALSE)</f>
        <v>1189</v>
      </c>
      <c r="B365">
        <v>14</v>
      </c>
      <c r="C365">
        <v>13</v>
      </c>
      <c r="D365">
        <v>150</v>
      </c>
      <c r="E365">
        <v>1</v>
      </c>
      <c r="F365" t="s">
        <v>118</v>
      </c>
      <c r="G365" t="s">
        <v>119</v>
      </c>
    </row>
    <row r="366" spans="1:7" x14ac:dyDescent="0.45">
      <c r="A366">
        <f>VLOOKUP(C366,'Field Layout'!$B$9:$AJ$35,MATCH(Index!B366,'Field Layout'!$B$8:$AJ$8,0),FALSE)</f>
        <v>1205</v>
      </c>
      <c r="B366">
        <v>14</v>
      </c>
      <c r="C366">
        <v>14</v>
      </c>
      <c r="D366">
        <v>150</v>
      </c>
      <c r="E366">
        <v>1</v>
      </c>
      <c r="F366" t="s">
        <v>650</v>
      </c>
      <c r="G366" t="s">
        <v>651</v>
      </c>
    </row>
    <row r="367" spans="1:7" x14ac:dyDescent="0.45">
      <c r="A367">
        <f>VLOOKUP(C367,'Field Layout'!$B$9:$AJ$35,MATCH(Index!B367,'Field Layout'!$B$8:$AJ$8,0),FALSE)</f>
        <v>1221</v>
      </c>
      <c r="B367">
        <v>14</v>
      </c>
      <c r="C367">
        <v>15</v>
      </c>
      <c r="D367">
        <v>150</v>
      </c>
      <c r="E367">
        <v>1</v>
      </c>
      <c r="F367" t="s">
        <v>118</v>
      </c>
      <c r="G367" t="s">
        <v>119</v>
      </c>
    </row>
    <row r="368" spans="1:7" x14ac:dyDescent="0.45">
      <c r="A368">
        <f>VLOOKUP(C368,'Field Layout'!$B$9:$AJ$35,MATCH(Index!B368,'Field Layout'!$B$8:$AJ$8,0),FALSE)</f>
        <v>1237</v>
      </c>
      <c r="B368">
        <v>14</v>
      </c>
      <c r="C368">
        <v>16</v>
      </c>
      <c r="D368">
        <v>150</v>
      </c>
      <c r="E368">
        <v>1</v>
      </c>
      <c r="F368" t="s">
        <v>652</v>
      </c>
      <c r="G368" t="s">
        <v>653</v>
      </c>
    </row>
    <row r="369" spans="1:7" x14ac:dyDescent="0.45">
      <c r="A369">
        <f>VLOOKUP(C369,'Field Layout'!$B$9:$AJ$35,MATCH(Index!B369,'Field Layout'!$B$8:$AJ$8,0),FALSE)</f>
        <v>1253</v>
      </c>
      <c r="B369">
        <v>14</v>
      </c>
      <c r="C369">
        <v>17</v>
      </c>
      <c r="D369">
        <v>150</v>
      </c>
      <c r="E369">
        <v>1</v>
      </c>
      <c r="F369" t="s">
        <v>654</v>
      </c>
      <c r="G369" t="s">
        <v>655</v>
      </c>
    </row>
    <row r="370" spans="1:7" x14ac:dyDescent="0.45">
      <c r="A370">
        <f>VLOOKUP(C370,'Field Layout'!$B$9:$AJ$35,MATCH(Index!B370,'Field Layout'!$B$8:$AJ$8,0),FALSE)</f>
        <v>1269</v>
      </c>
      <c r="B370">
        <v>14</v>
      </c>
      <c r="C370">
        <v>18</v>
      </c>
      <c r="D370">
        <v>150</v>
      </c>
      <c r="E370">
        <v>1</v>
      </c>
      <c r="F370" t="s">
        <v>656</v>
      </c>
      <c r="G370" t="s">
        <v>657</v>
      </c>
    </row>
    <row r="371" spans="1:7" x14ac:dyDescent="0.45">
      <c r="A371">
        <f>VLOOKUP(C371,'Field Layout'!$B$9:$AJ$35,MATCH(Index!B371,'Field Layout'!$B$8:$AJ$8,0),FALSE)</f>
        <v>1285</v>
      </c>
      <c r="B371">
        <v>14</v>
      </c>
      <c r="C371">
        <v>19</v>
      </c>
      <c r="D371">
        <v>150</v>
      </c>
      <c r="E371">
        <v>1</v>
      </c>
      <c r="F371" t="s">
        <v>658</v>
      </c>
      <c r="G371" t="s">
        <v>659</v>
      </c>
    </row>
    <row r="372" spans="1:7" x14ac:dyDescent="0.45">
      <c r="A372">
        <f>VLOOKUP(C372,'Field Layout'!$B$9:$AJ$35,MATCH(Index!B372,'Field Layout'!$B$8:$AJ$8,0),FALSE)</f>
        <v>1301</v>
      </c>
      <c r="B372">
        <v>14</v>
      </c>
      <c r="C372">
        <v>20</v>
      </c>
      <c r="D372">
        <v>150</v>
      </c>
      <c r="E372">
        <v>1</v>
      </c>
      <c r="F372" t="s">
        <v>660</v>
      </c>
      <c r="G372" t="s">
        <v>661</v>
      </c>
    </row>
    <row r="373" spans="1:7" x14ac:dyDescent="0.45">
      <c r="A373">
        <f>VLOOKUP(C373,'Field Layout'!$B$9:$AJ$35,MATCH(Index!B373,'Field Layout'!$B$8:$AJ$8,0),FALSE)</f>
        <v>1317</v>
      </c>
      <c r="B373">
        <v>14</v>
      </c>
      <c r="C373">
        <v>21</v>
      </c>
      <c r="D373">
        <v>150</v>
      </c>
      <c r="E373">
        <v>1</v>
      </c>
      <c r="F373" t="s">
        <v>662</v>
      </c>
      <c r="G373" t="s">
        <v>663</v>
      </c>
    </row>
    <row r="374" spans="1:7" x14ac:dyDescent="0.45">
      <c r="A374">
        <f>VLOOKUP(C374,'Field Layout'!$B$9:$AJ$35,MATCH(Index!B374,'Field Layout'!$B$8:$AJ$8,0),FALSE)</f>
        <v>1333</v>
      </c>
      <c r="B374">
        <v>14</v>
      </c>
      <c r="C374">
        <v>22</v>
      </c>
      <c r="D374">
        <v>150</v>
      </c>
      <c r="E374">
        <v>1</v>
      </c>
      <c r="F374" t="s">
        <v>664</v>
      </c>
      <c r="G374" t="s">
        <v>665</v>
      </c>
    </row>
    <row r="375" spans="1:7" x14ac:dyDescent="0.45">
      <c r="A375">
        <f>VLOOKUP(C375,'Field Layout'!$B$9:$AJ$35,MATCH(Index!B375,'Field Layout'!$B$8:$AJ$8,0),FALSE)</f>
        <v>1349</v>
      </c>
      <c r="B375">
        <v>14</v>
      </c>
      <c r="C375">
        <v>23</v>
      </c>
      <c r="D375">
        <v>150</v>
      </c>
      <c r="E375">
        <v>1</v>
      </c>
      <c r="F375" t="s">
        <v>666</v>
      </c>
      <c r="G375" t="s">
        <v>667</v>
      </c>
    </row>
    <row r="376" spans="1:7" x14ac:dyDescent="0.45">
      <c r="A376">
        <f>VLOOKUP(C376,'Field Layout'!$B$9:$AJ$35,MATCH(Index!B376,'Field Layout'!$B$8:$AJ$8,0),FALSE)</f>
        <v>1365</v>
      </c>
      <c r="B376">
        <v>14</v>
      </c>
      <c r="C376">
        <v>24</v>
      </c>
      <c r="D376">
        <v>150</v>
      </c>
      <c r="E376">
        <v>1</v>
      </c>
      <c r="F376" t="s">
        <v>668</v>
      </c>
      <c r="G376" t="s">
        <v>669</v>
      </c>
    </row>
    <row r="377" spans="1:7" x14ac:dyDescent="0.45">
      <c r="A377">
        <f>VLOOKUP(C377,'Field Layout'!$B$9:$AJ$35,MATCH(Index!B377,'Field Layout'!$B$8:$AJ$8,0),FALSE)</f>
        <v>1381</v>
      </c>
      <c r="B377">
        <v>14</v>
      </c>
      <c r="C377">
        <v>25</v>
      </c>
      <c r="D377">
        <v>150</v>
      </c>
      <c r="E377">
        <v>1</v>
      </c>
      <c r="F377" t="s">
        <v>670</v>
      </c>
      <c r="G377" t="s">
        <v>671</v>
      </c>
    </row>
    <row r="378" spans="1:7" x14ac:dyDescent="0.45">
      <c r="A378">
        <f>VLOOKUP(C378,'Field Layout'!$B$9:$AJ$35,MATCH(Index!B378,'Field Layout'!$B$8:$AJ$8,0),FALSE)</f>
        <v>1397</v>
      </c>
      <c r="B378">
        <v>14</v>
      </c>
      <c r="C378">
        <v>26</v>
      </c>
      <c r="D378">
        <v>150</v>
      </c>
      <c r="E378">
        <v>1</v>
      </c>
      <c r="F378" t="s">
        <v>94</v>
      </c>
      <c r="G378" t="e">
        <v>#N/A</v>
      </c>
    </row>
    <row r="379" spans="1:7" x14ac:dyDescent="0.45">
      <c r="A379" t="str">
        <f>VLOOKUP(C379,'Field Layout'!$B$9:$AJ$35,MATCH(Index!B379,'Field Layout'!$B$8:$AJ$8,0),FALSE)</f>
        <v>Border</v>
      </c>
      <c r="B379">
        <v>14</v>
      </c>
      <c r="C379">
        <v>27</v>
      </c>
      <c r="D379">
        <v>150</v>
      </c>
      <c r="E379" t="s">
        <v>54</v>
      </c>
      <c r="F379" t="s">
        <v>92</v>
      </c>
      <c r="G379" t="s">
        <v>99</v>
      </c>
    </row>
    <row r="380" spans="1:7" x14ac:dyDescent="0.45">
      <c r="A380" t="str">
        <f>VLOOKUP(C380,'Field Layout'!$B$9:$AJ$35,MATCH(Index!B380,'Field Layout'!$B$8:$AJ$8,0),FALSE)</f>
        <v>Border</v>
      </c>
      <c r="B380">
        <v>15</v>
      </c>
      <c r="C380">
        <v>1</v>
      </c>
      <c r="D380">
        <v>150</v>
      </c>
      <c r="E380" t="s">
        <v>54</v>
      </c>
      <c r="F380" t="s">
        <v>92</v>
      </c>
      <c r="G380" t="s">
        <v>99</v>
      </c>
    </row>
    <row r="381" spans="1:7" x14ac:dyDescent="0.45">
      <c r="A381">
        <f>VLOOKUP(C381,'Field Layout'!$B$9:$AJ$35,MATCH(Index!B381,'Field Layout'!$B$8:$AJ$8,0),FALSE)</f>
        <v>1014</v>
      </c>
      <c r="B381">
        <v>15</v>
      </c>
      <c r="C381">
        <v>2</v>
      </c>
      <c r="D381">
        <v>150</v>
      </c>
      <c r="E381">
        <v>1</v>
      </c>
      <c r="F381" t="s">
        <v>672</v>
      </c>
      <c r="G381" t="s">
        <v>673</v>
      </c>
    </row>
    <row r="382" spans="1:7" x14ac:dyDescent="0.45">
      <c r="A382">
        <f>VLOOKUP(C382,'Field Layout'!$B$9:$AJ$35,MATCH(Index!B382,'Field Layout'!$B$8:$AJ$8,0),FALSE)</f>
        <v>1030</v>
      </c>
      <c r="B382">
        <v>15</v>
      </c>
      <c r="C382">
        <v>3</v>
      </c>
      <c r="D382">
        <v>150</v>
      </c>
      <c r="E382">
        <v>1</v>
      </c>
      <c r="F382" t="s">
        <v>674</v>
      </c>
      <c r="G382" t="s">
        <v>675</v>
      </c>
    </row>
    <row r="383" spans="1:7" x14ac:dyDescent="0.45">
      <c r="A383">
        <f>VLOOKUP(C383,'Field Layout'!$B$9:$AJ$35,MATCH(Index!B383,'Field Layout'!$B$8:$AJ$8,0),FALSE)</f>
        <v>1046</v>
      </c>
      <c r="B383">
        <v>15</v>
      </c>
      <c r="C383">
        <v>4</v>
      </c>
      <c r="D383">
        <v>150</v>
      </c>
      <c r="E383">
        <v>1</v>
      </c>
      <c r="F383" t="s">
        <v>676</v>
      </c>
      <c r="G383" t="s">
        <v>677</v>
      </c>
    </row>
    <row r="384" spans="1:7" x14ac:dyDescent="0.45">
      <c r="A384">
        <f>VLOOKUP(C384,'Field Layout'!$B$9:$AJ$35,MATCH(Index!B384,'Field Layout'!$B$8:$AJ$8,0),FALSE)</f>
        <v>1062</v>
      </c>
      <c r="B384">
        <v>15</v>
      </c>
      <c r="C384">
        <v>5</v>
      </c>
      <c r="D384">
        <v>150</v>
      </c>
      <c r="E384">
        <v>1</v>
      </c>
      <c r="F384" t="s">
        <v>678</v>
      </c>
      <c r="G384" t="s">
        <v>679</v>
      </c>
    </row>
    <row r="385" spans="1:7" x14ac:dyDescent="0.45">
      <c r="A385">
        <f>VLOOKUP(C385,'Field Layout'!$B$9:$AJ$35,MATCH(Index!B385,'Field Layout'!$B$8:$AJ$8,0),FALSE)</f>
        <v>1078</v>
      </c>
      <c r="B385">
        <v>15</v>
      </c>
      <c r="C385">
        <v>6</v>
      </c>
      <c r="D385">
        <v>150</v>
      </c>
      <c r="E385">
        <v>1</v>
      </c>
      <c r="F385" t="s">
        <v>680</v>
      </c>
      <c r="G385" t="s">
        <v>681</v>
      </c>
    </row>
    <row r="386" spans="1:7" x14ac:dyDescent="0.45">
      <c r="A386">
        <f>VLOOKUP(C386,'Field Layout'!$B$9:$AJ$35,MATCH(Index!B386,'Field Layout'!$B$8:$AJ$8,0),FALSE)</f>
        <v>1094</v>
      </c>
      <c r="B386">
        <v>15</v>
      </c>
      <c r="C386">
        <v>7</v>
      </c>
      <c r="D386">
        <v>150</v>
      </c>
      <c r="E386">
        <v>1</v>
      </c>
      <c r="F386" t="s">
        <v>682</v>
      </c>
      <c r="G386" t="s">
        <v>683</v>
      </c>
    </row>
    <row r="387" spans="1:7" x14ac:dyDescent="0.45">
      <c r="A387">
        <f>VLOOKUP(C387,'Field Layout'!$B$9:$AJ$35,MATCH(Index!B387,'Field Layout'!$B$8:$AJ$8,0),FALSE)</f>
        <v>1110</v>
      </c>
      <c r="B387">
        <v>15</v>
      </c>
      <c r="C387">
        <v>8</v>
      </c>
      <c r="D387">
        <v>150</v>
      </c>
      <c r="E387">
        <v>1</v>
      </c>
      <c r="F387" t="s">
        <v>684</v>
      </c>
      <c r="G387" t="s">
        <v>685</v>
      </c>
    </row>
    <row r="388" spans="1:7" x14ac:dyDescent="0.45">
      <c r="A388">
        <f>VLOOKUP(C388,'Field Layout'!$B$9:$AJ$35,MATCH(Index!B388,'Field Layout'!$B$8:$AJ$8,0),FALSE)</f>
        <v>1126</v>
      </c>
      <c r="B388">
        <v>15</v>
      </c>
      <c r="C388">
        <v>9</v>
      </c>
      <c r="D388">
        <v>150</v>
      </c>
      <c r="E388">
        <v>1</v>
      </c>
      <c r="F388" t="s">
        <v>686</v>
      </c>
      <c r="G388" t="s">
        <v>687</v>
      </c>
    </row>
    <row r="389" spans="1:7" x14ac:dyDescent="0.45">
      <c r="A389">
        <f>VLOOKUP(C389,'Field Layout'!$B$9:$AJ$35,MATCH(Index!B389,'Field Layout'!$B$8:$AJ$8,0),FALSE)</f>
        <v>1142</v>
      </c>
      <c r="B389">
        <v>15</v>
      </c>
      <c r="C389">
        <v>10</v>
      </c>
      <c r="D389">
        <v>150</v>
      </c>
      <c r="E389">
        <v>1</v>
      </c>
      <c r="F389" t="s">
        <v>688</v>
      </c>
      <c r="G389" t="s">
        <v>689</v>
      </c>
    </row>
    <row r="390" spans="1:7" x14ac:dyDescent="0.45">
      <c r="A390">
        <f>VLOOKUP(C390,'Field Layout'!$B$9:$AJ$35,MATCH(Index!B390,'Field Layout'!$B$8:$AJ$8,0),FALSE)</f>
        <v>1158</v>
      </c>
      <c r="B390">
        <v>15</v>
      </c>
      <c r="C390">
        <v>11</v>
      </c>
      <c r="D390">
        <v>150</v>
      </c>
      <c r="E390">
        <v>1</v>
      </c>
      <c r="F390" t="s">
        <v>307</v>
      </c>
      <c r="G390" t="s">
        <v>119</v>
      </c>
    </row>
    <row r="391" spans="1:7" x14ac:dyDescent="0.45">
      <c r="A391">
        <f>VLOOKUP(C391,'Field Layout'!$B$9:$AJ$35,MATCH(Index!B391,'Field Layout'!$B$8:$AJ$8,0),FALSE)</f>
        <v>1174</v>
      </c>
      <c r="B391">
        <v>15</v>
      </c>
      <c r="C391">
        <v>12</v>
      </c>
      <c r="D391">
        <v>150</v>
      </c>
      <c r="E391">
        <v>1</v>
      </c>
      <c r="F391" t="s">
        <v>690</v>
      </c>
      <c r="G391" t="s">
        <v>691</v>
      </c>
    </row>
    <row r="392" spans="1:7" x14ac:dyDescent="0.45">
      <c r="A392">
        <f>VLOOKUP(C392,'Field Layout'!$B$9:$AJ$35,MATCH(Index!B392,'Field Layout'!$B$8:$AJ$8,0),FALSE)</f>
        <v>1190</v>
      </c>
      <c r="B392">
        <v>15</v>
      </c>
      <c r="C392">
        <v>13</v>
      </c>
      <c r="D392">
        <v>150</v>
      </c>
      <c r="E392">
        <v>1</v>
      </c>
      <c r="F392" t="s">
        <v>692</v>
      </c>
      <c r="G392" t="s">
        <v>693</v>
      </c>
    </row>
    <row r="393" spans="1:7" x14ac:dyDescent="0.45">
      <c r="A393">
        <f>VLOOKUP(C393,'Field Layout'!$B$9:$AJ$35,MATCH(Index!B393,'Field Layout'!$B$8:$AJ$8,0),FALSE)</f>
        <v>1206</v>
      </c>
      <c r="B393">
        <v>15</v>
      </c>
      <c r="C393">
        <v>14</v>
      </c>
      <c r="D393">
        <v>150</v>
      </c>
      <c r="E393">
        <v>1</v>
      </c>
      <c r="F393" t="s">
        <v>694</v>
      </c>
      <c r="G393" t="s">
        <v>695</v>
      </c>
    </row>
    <row r="394" spans="1:7" x14ac:dyDescent="0.45">
      <c r="A394">
        <f>VLOOKUP(C394,'Field Layout'!$B$9:$AJ$35,MATCH(Index!B394,'Field Layout'!$B$8:$AJ$8,0),FALSE)</f>
        <v>1222</v>
      </c>
      <c r="B394">
        <v>15</v>
      </c>
      <c r="C394">
        <v>15</v>
      </c>
      <c r="D394">
        <v>150</v>
      </c>
      <c r="E394">
        <v>1</v>
      </c>
      <c r="F394" t="s">
        <v>118</v>
      </c>
      <c r="G394" t="s">
        <v>119</v>
      </c>
    </row>
    <row r="395" spans="1:7" x14ac:dyDescent="0.45">
      <c r="A395">
        <f>VLOOKUP(C395,'Field Layout'!$B$9:$AJ$35,MATCH(Index!B395,'Field Layout'!$B$8:$AJ$8,0),FALSE)</f>
        <v>1238</v>
      </c>
      <c r="B395">
        <v>15</v>
      </c>
      <c r="C395">
        <v>16</v>
      </c>
      <c r="D395">
        <v>150</v>
      </c>
      <c r="E395">
        <v>1</v>
      </c>
      <c r="F395" t="s">
        <v>696</v>
      </c>
      <c r="G395" t="s">
        <v>697</v>
      </c>
    </row>
    <row r="396" spans="1:7" x14ac:dyDescent="0.45">
      <c r="A396">
        <f>VLOOKUP(C396,'Field Layout'!$B$9:$AJ$35,MATCH(Index!B396,'Field Layout'!$B$8:$AJ$8,0),FALSE)</f>
        <v>1254</v>
      </c>
      <c r="B396">
        <v>15</v>
      </c>
      <c r="C396">
        <v>17</v>
      </c>
      <c r="D396">
        <v>150</v>
      </c>
      <c r="E396">
        <v>1</v>
      </c>
      <c r="F396" t="s">
        <v>698</v>
      </c>
      <c r="G396" t="s">
        <v>699</v>
      </c>
    </row>
    <row r="397" spans="1:7" x14ac:dyDescent="0.45">
      <c r="A397">
        <f>VLOOKUP(C397,'Field Layout'!$B$9:$AJ$35,MATCH(Index!B397,'Field Layout'!$B$8:$AJ$8,0),FALSE)</f>
        <v>1270</v>
      </c>
      <c r="B397">
        <v>15</v>
      </c>
      <c r="C397">
        <v>18</v>
      </c>
      <c r="D397">
        <v>150</v>
      </c>
      <c r="E397">
        <v>1</v>
      </c>
      <c r="F397" t="s">
        <v>700</v>
      </c>
      <c r="G397" t="s">
        <v>701</v>
      </c>
    </row>
    <row r="398" spans="1:7" x14ac:dyDescent="0.45">
      <c r="A398">
        <f>VLOOKUP(C398,'Field Layout'!$B$9:$AJ$35,MATCH(Index!B398,'Field Layout'!$B$8:$AJ$8,0),FALSE)</f>
        <v>1286</v>
      </c>
      <c r="B398">
        <v>15</v>
      </c>
      <c r="C398">
        <v>19</v>
      </c>
      <c r="D398">
        <v>150</v>
      </c>
      <c r="E398">
        <v>1</v>
      </c>
      <c r="F398" t="s">
        <v>702</v>
      </c>
      <c r="G398" t="s">
        <v>703</v>
      </c>
    </row>
    <row r="399" spans="1:7" x14ac:dyDescent="0.45">
      <c r="A399">
        <f>VLOOKUP(C399,'Field Layout'!$B$9:$AJ$35,MATCH(Index!B399,'Field Layout'!$B$8:$AJ$8,0),FALSE)</f>
        <v>1302</v>
      </c>
      <c r="B399">
        <v>15</v>
      </c>
      <c r="C399">
        <v>20</v>
      </c>
      <c r="D399">
        <v>150</v>
      </c>
      <c r="E399">
        <v>1</v>
      </c>
      <c r="F399" t="s">
        <v>704</v>
      </c>
      <c r="G399" t="s">
        <v>705</v>
      </c>
    </row>
    <row r="400" spans="1:7" x14ac:dyDescent="0.45">
      <c r="A400">
        <f>VLOOKUP(C400,'Field Layout'!$B$9:$AJ$35,MATCH(Index!B400,'Field Layout'!$B$8:$AJ$8,0),FALSE)</f>
        <v>1318</v>
      </c>
      <c r="B400">
        <v>15</v>
      </c>
      <c r="C400">
        <v>21</v>
      </c>
      <c r="D400">
        <v>150</v>
      </c>
      <c r="E400">
        <v>1</v>
      </c>
      <c r="F400" t="s">
        <v>706</v>
      </c>
      <c r="G400" t="s">
        <v>707</v>
      </c>
    </row>
    <row r="401" spans="1:7" x14ac:dyDescent="0.45">
      <c r="A401">
        <f>VLOOKUP(C401,'Field Layout'!$B$9:$AJ$35,MATCH(Index!B401,'Field Layout'!$B$8:$AJ$8,0),FALSE)</f>
        <v>1334</v>
      </c>
      <c r="B401">
        <v>15</v>
      </c>
      <c r="C401">
        <v>22</v>
      </c>
      <c r="D401">
        <v>150</v>
      </c>
      <c r="E401">
        <v>1</v>
      </c>
      <c r="F401" t="s">
        <v>708</v>
      </c>
      <c r="G401" t="s">
        <v>709</v>
      </c>
    </row>
    <row r="402" spans="1:7" x14ac:dyDescent="0.45">
      <c r="A402">
        <f>VLOOKUP(C402,'Field Layout'!$B$9:$AJ$35,MATCH(Index!B402,'Field Layout'!$B$8:$AJ$8,0),FALSE)</f>
        <v>1350</v>
      </c>
      <c r="B402">
        <v>15</v>
      </c>
      <c r="C402">
        <v>23</v>
      </c>
      <c r="D402">
        <v>150</v>
      </c>
      <c r="E402">
        <v>1</v>
      </c>
      <c r="F402" t="s">
        <v>710</v>
      </c>
      <c r="G402" t="s">
        <v>711</v>
      </c>
    </row>
    <row r="403" spans="1:7" x14ac:dyDescent="0.45">
      <c r="A403">
        <f>VLOOKUP(C403,'Field Layout'!$B$9:$AJ$35,MATCH(Index!B403,'Field Layout'!$B$8:$AJ$8,0),FALSE)</f>
        <v>1366</v>
      </c>
      <c r="B403">
        <v>15</v>
      </c>
      <c r="C403">
        <v>24</v>
      </c>
      <c r="D403">
        <v>150</v>
      </c>
      <c r="E403">
        <v>1</v>
      </c>
      <c r="F403" t="s">
        <v>712</v>
      </c>
      <c r="G403" t="s">
        <v>713</v>
      </c>
    </row>
    <row r="404" spans="1:7" x14ac:dyDescent="0.45">
      <c r="A404">
        <f>VLOOKUP(C404,'Field Layout'!$B$9:$AJ$35,MATCH(Index!B404,'Field Layout'!$B$8:$AJ$8,0),FALSE)</f>
        <v>1382</v>
      </c>
      <c r="B404">
        <v>15</v>
      </c>
      <c r="C404">
        <v>25</v>
      </c>
      <c r="D404">
        <v>150</v>
      </c>
      <c r="E404">
        <v>1</v>
      </c>
      <c r="F404" t="s">
        <v>714</v>
      </c>
      <c r="G404" t="s">
        <v>715</v>
      </c>
    </row>
    <row r="405" spans="1:7" x14ac:dyDescent="0.45">
      <c r="A405">
        <f>VLOOKUP(C405,'Field Layout'!$B$9:$AJ$35,MATCH(Index!B405,'Field Layout'!$B$8:$AJ$8,0),FALSE)</f>
        <v>1398</v>
      </c>
      <c r="B405">
        <v>15</v>
      </c>
      <c r="C405">
        <v>26</v>
      </c>
      <c r="D405">
        <v>150</v>
      </c>
      <c r="E405">
        <v>1</v>
      </c>
      <c r="F405" t="s">
        <v>94</v>
      </c>
      <c r="G405" t="e">
        <v>#N/A</v>
      </c>
    </row>
    <row r="406" spans="1:7" x14ac:dyDescent="0.45">
      <c r="A406" t="str">
        <f>VLOOKUP(C406,'Field Layout'!$B$9:$AJ$35,MATCH(Index!B406,'Field Layout'!$B$8:$AJ$8,0),FALSE)</f>
        <v>Border</v>
      </c>
      <c r="B406">
        <v>15</v>
      </c>
      <c r="C406">
        <v>27</v>
      </c>
      <c r="D406">
        <v>150</v>
      </c>
      <c r="E406" t="s">
        <v>54</v>
      </c>
      <c r="F406" t="s">
        <v>92</v>
      </c>
      <c r="G406" t="s">
        <v>99</v>
      </c>
    </row>
    <row r="407" spans="1:7" x14ac:dyDescent="0.45">
      <c r="A407" t="str">
        <f>VLOOKUP(C407,'Field Layout'!$B$9:$AJ$35,MATCH(Index!B407,'Field Layout'!$B$8:$AJ$8,0),FALSE)</f>
        <v>Border</v>
      </c>
      <c r="B407">
        <v>16</v>
      </c>
      <c r="C407">
        <v>1</v>
      </c>
      <c r="D407">
        <v>150</v>
      </c>
      <c r="E407" t="s">
        <v>54</v>
      </c>
      <c r="F407" t="s">
        <v>92</v>
      </c>
      <c r="G407" t="s">
        <v>99</v>
      </c>
    </row>
    <row r="408" spans="1:7" x14ac:dyDescent="0.45">
      <c r="A408">
        <f>VLOOKUP(C408,'Field Layout'!$B$9:$AJ$35,MATCH(Index!B408,'Field Layout'!$B$8:$AJ$8,0),FALSE)</f>
        <v>1015</v>
      </c>
      <c r="B408">
        <v>16</v>
      </c>
      <c r="C408">
        <v>2</v>
      </c>
      <c r="D408">
        <v>150</v>
      </c>
      <c r="E408">
        <v>1</v>
      </c>
      <c r="F408" t="s">
        <v>716</v>
      </c>
      <c r="G408" t="s">
        <v>717</v>
      </c>
    </row>
    <row r="409" spans="1:7" x14ac:dyDescent="0.45">
      <c r="A409">
        <f>VLOOKUP(C409,'Field Layout'!$B$9:$AJ$35,MATCH(Index!B409,'Field Layout'!$B$8:$AJ$8,0),FALSE)</f>
        <v>1031</v>
      </c>
      <c r="B409">
        <v>16</v>
      </c>
      <c r="C409">
        <v>3</v>
      </c>
      <c r="D409">
        <v>150</v>
      </c>
      <c r="E409">
        <v>1</v>
      </c>
      <c r="F409" t="s">
        <v>718</v>
      </c>
      <c r="G409" t="s">
        <v>719</v>
      </c>
    </row>
    <row r="410" spans="1:7" x14ac:dyDescent="0.45">
      <c r="A410">
        <f>VLOOKUP(C410,'Field Layout'!$B$9:$AJ$35,MATCH(Index!B410,'Field Layout'!$B$8:$AJ$8,0),FALSE)</f>
        <v>1047</v>
      </c>
      <c r="B410">
        <v>16</v>
      </c>
      <c r="C410">
        <v>4</v>
      </c>
      <c r="D410">
        <v>150</v>
      </c>
      <c r="E410">
        <v>1</v>
      </c>
      <c r="F410" t="s">
        <v>118</v>
      </c>
      <c r="G410" t="s">
        <v>119</v>
      </c>
    </row>
    <row r="411" spans="1:7" x14ac:dyDescent="0.45">
      <c r="A411">
        <f>VLOOKUP(C411,'Field Layout'!$B$9:$AJ$35,MATCH(Index!B411,'Field Layout'!$B$8:$AJ$8,0),FALSE)</f>
        <v>1063</v>
      </c>
      <c r="B411">
        <v>16</v>
      </c>
      <c r="C411">
        <v>5</v>
      </c>
      <c r="D411">
        <v>150</v>
      </c>
      <c r="E411">
        <v>1</v>
      </c>
      <c r="F411" t="s">
        <v>720</v>
      </c>
      <c r="G411" t="s">
        <v>721</v>
      </c>
    </row>
    <row r="412" spans="1:7" x14ac:dyDescent="0.45">
      <c r="A412">
        <f>VLOOKUP(C412,'Field Layout'!$B$9:$AJ$35,MATCH(Index!B412,'Field Layout'!$B$8:$AJ$8,0),FALSE)</f>
        <v>1079</v>
      </c>
      <c r="B412">
        <v>16</v>
      </c>
      <c r="C412">
        <v>6</v>
      </c>
      <c r="D412">
        <v>150</v>
      </c>
      <c r="E412">
        <v>1</v>
      </c>
      <c r="F412" t="s">
        <v>722</v>
      </c>
      <c r="G412" t="s">
        <v>723</v>
      </c>
    </row>
    <row r="413" spans="1:7" x14ac:dyDescent="0.45">
      <c r="A413">
        <f>VLOOKUP(C413,'Field Layout'!$B$9:$AJ$35,MATCH(Index!B413,'Field Layout'!$B$8:$AJ$8,0),FALSE)</f>
        <v>1095</v>
      </c>
      <c r="B413">
        <v>16</v>
      </c>
      <c r="C413">
        <v>7</v>
      </c>
      <c r="D413">
        <v>150</v>
      </c>
      <c r="E413">
        <v>1</v>
      </c>
      <c r="F413" t="s">
        <v>118</v>
      </c>
      <c r="G413" t="s">
        <v>119</v>
      </c>
    </row>
    <row r="414" spans="1:7" x14ac:dyDescent="0.45">
      <c r="A414">
        <f>VLOOKUP(C414,'Field Layout'!$B$9:$AJ$35,MATCH(Index!B414,'Field Layout'!$B$8:$AJ$8,0),FALSE)</f>
        <v>1111</v>
      </c>
      <c r="B414">
        <v>16</v>
      </c>
      <c r="C414">
        <v>8</v>
      </c>
      <c r="D414">
        <v>150</v>
      </c>
      <c r="E414">
        <v>1</v>
      </c>
      <c r="F414" t="s">
        <v>724</v>
      </c>
      <c r="G414" t="s">
        <v>725</v>
      </c>
    </row>
    <row r="415" spans="1:7" x14ac:dyDescent="0.45">
      <c r="A415">
        <f>VLOOKUP(C415,'Field Layout'!$B$9:$AJ$35,MATCH(Index!B415,'Field Layout'!$B$8:$AJ$8,0),FALSE)</f>
        <v>1127</v>
      </c>
      <c r="B415">
        <v>16</v>
      </c>
      <c r="C415">
        <v>9</v>
      </c>
      <c r="D415">
        <v>150</v>
      </c>
      <c r="E415">
        <v>1</v>
      </c>
      <c r="F415" t="s">
        <v>726</v>
      </c>
      <c r="G415" t="s">
        <v>727</v>
      </c>
    </row>
    <row r="416" spans="1:7" x14ac:dyDescent="0.45">
      <c r="A416">
        <f>VLOOKUP(C416,'Field Layout'!$B$9:$AJ$35,MATCH(Index!B416,'Field Layout'!$B$8:$AJ$8,0),FALSE)</f>
        <v>1143</v>
      </c>
      <c r="B416">
        <v>16</v>
      </c>
      <c r="C416">
        <v>10</v>
      </c>
      <c r="D416">
        <v>150</v>
      </c>
      <c r="E416">
        <v>1</v>
      </c>
      <c r="F416" t="s">
        <v>728</v>
      </c>
      <c r="G416" t="s">
        <v>729</v>
      </c>
    </row>
    <row r="417" spans="1:7" x14ac:dyDescent="0.45">
      <c r="A417">
        <f>VLOOKUP(C417,'Field Layout'!$B$9:$AJ$35,MATCH(Index!B417,'Field Layout'!$B$8:$AJ$8,0),FALSE)</f>
        <v>1159</v>
      </c>
      <c r="B417">
        <v>16</v>
      </c>
      <c r="C417">
        <v>11</v>
      </c>
      <c r="D417">
        <v>150</v>
      </c>
      <c r="E417">
        <v>1</v>
      </c>
      <c r="F417" t="s">
        <v>730</v>
      </c>
      <c r="G417" t="s">
        <v>731</v>
      </c>
    </row>
    <row r="418" spans="1:7" x14ac:dyDescent="0.45">
      <c r="A418">
        <f>VLOOKUP(C418,'Field Layout'!$B$9:$AJ$35,MATCH(Index!B418,'Field Layout'!$B$8:$AJ$8,0),FALSE)</f>
        <v>1175</v>
      </c>
      <c r="B418">
        <v>16</v>
      </c>
      <c r="C418">
        <v>12</v>
      </c>
      <c r="D418">
        <v>150</v>
      </c>
      <c r="E418">
        <v>1</v>
      </c>
      <c r="F418" t="s">
        <v>732</v>
      </c>
      <c r="G418" t="s">
        <v>733</v>
      </c>
    </row>
    <row r="419" spans="1:7" x14ac:dyDescent="0.45">
      <c r="A419">
        <f>VLOOKUP(C419,'Field Layout'!$B$9:$AJ$35,MATCH(Index!B419,'Field Layout'!$B$8:$AJ$8,0),FALSE)</f>
        <v>1191</v>
      </c>
      <c r="B419">
        <v>16</v>
      </c>
      <c r="C419">
        <v>13</v>
      </c>
      <c r="D419">
        <v>150</v>
      </c>
      <c r="E419">
        <v>1</v>
      </c>
      <c r="F419" t="s">
        <v>734</v>
      </c>
      <c r="G419" t="s">
        <v>735</v>
      </c>
    </row>
    <row r="420" spans="1:7" x14ac:dyDescent="0.45">
      <c r="A420">
        <f>VLOOKUP(C420,'Field Layout'!$B$9:$AJ$35,MATCH(Index!B420,'Field Layout'!$B$8:$AJ$8,0),FALSE)</f>
        <v>1207</v>
      </c>
      <c r="B420">
        <v>16</v>
      </c>
      <c r="C420">
        <v>14</v>
      </c>
      <c r="D420">
        <v>150</v>
      </c>
      <c r="E420">
        <v>1</v>
      </c>
      <c r="F420" t="s">
        <v>736</v>
      </c>
      <c r="G420" t="s">
        <v>737</v>
      </c>
    </row>
    <row r="421" spans="1:7" x14ac:dyDescent="0.45">
      <c r="A421">
        <f>VLOOKUP(C421,'Field Layout'!$B$9:$AJ$35,MATCH(Index!B421,'Field Layout'!$B$8:$AJ$8,0),FALSE)</f>
        <v>1223</v>
      </c>
      <c r="B421">
        <v>16</v>
      </c>
      <c r="C421">
        <v>15</v>
      </c>
      <c r="D421">
        <v>150</v>
      </c>
      <c r="E421">
        <v>1</v>
      </c>
      <c r="F421" t="s">
        <v>738</v>
      </c>
      <c r="G421" t="s">
        <v>739</v>
      </c>
    </row>
    <row r="422" spans="1:7" x14ac:dyDescent="0.45">
      <c r="A422">
        <f>VLOOKUP(C422,'Field Layout'!$B$9:$AJ$35,MATCH(Index!B422,'Field Layout'!$B$8:$AJ$8,0),FALSE)</f>
        <v>1239</v>
      </c>
      <c r="B422">
        <v>16</v>
      </c>
      <c r="C422">
        <v>16</v>
      </c>
      <c r="D422">
        <v>150</v>
      </c>
      <c r="E422">
        <v>1</v>
      </c>
      <c r="F422" t="s">
        <v>740</v>
      </c>
      <c r="G422" t="s">
        <v>741</v>
      </c>
    </row>
    <row r="423" spans="1:7" x14ac:dyDescent="0.45">
      <c r="A423">
        <f>VLOOKUP(C423,'Field Layout'!$B$9:$AJ$35,MATCH(Index!B423,'Field Layout'!$B$8:$AJ$8,0),FALSE)</f>
        <v>1255</v>
      </c>
      <c r="B423">
        <v>16</v>
      </c>
      <c r="C423">
        <v>17</v>
      </c>
      <c r="D423">
        <v>150</v>
      </c>
      <c r="E423">
        <v>1</v>
      </c>
      <c r="F423" t="s">
        <v>742</v>
      </c>
      <c r="G423" t="s">
        <v>743</v>
      </c>
    </row>
    <row r="424" spans="1:7" x14ac:dyDescent="0.45">
      <c r="A424">
        <f>VLOOKUP(C424,'Field Layout'!$B$9:$AJ$35,MATCH(Index!B424,'Field Layout'!$B$8:$AJ$8,0),FALSE)</f>
        <v>1271</v>
      </c>
      <c r="B424">
        <v>16</v>
      </c>
      <c r="C424">
        <v>18</v>
      </c>
      <c r="D424">
        <v>150</v>
      </c>
      <c r="E424">
        <v>1</v>
      </c>
      <c r="F424" t="s">
        <v>744</v>
      </c>
      <c r="G424" t="s">
        <v>745</v>
      </c>
    </row>
    <row r="425" spans="1:7" x14ac:dyDescent="0.45">
      <c r="A425">
        <f>VLOOKUP(C425,'Field Layout'!$B$9:$AJ$35,MATCH(Index!B425,'Field Layout'!$B$8:$AJ$8,0),FALSE)</f>
        <v>1287</v>
      </c>
      <c r="B425">
        <v>16</v>
      </c>
      <c r="C425">
        <v>19</v>
      </c>
      <c r="D425">
        <v>150</v>
      </c>
      <c r="E425">
        <v>1</v>
      </c>
      <c r="F425" t="s">
        <v>746</v>
      </c>
      <c r="G425" t="s">
        <v>747</v>
      </c>
    </row>
    <row r="426" spans="1:7" x14ac:dyDescent="0.45">
      <c r="A426">
        <f>VLOOKUP(C426,'Field Layout'!$B$9:$AJ$35,MATCH(Index!B426,'Field Layout'!$B$8:$AJ$8,0),FALSE)</f>
        <v>1303</v>
      </c>
      <c r="B426">
        <v>16</v>
      </c>
      <c r="C426">
        <v>20</v>
      </c>
      <c r="D426">
        <v>150</v>
      </c>
      <c r="E426">
        <v>1</v>
      </c>
      <c r="F426" t="s">
        <v>748</v>
      </c>
      <c r="G426" t="s">
        <v>749</v>
      </c>
    </row>
    <row r="427" spans="1:7" x14ac:dyDescent="0.45">
      <c r="A427">
        <f>VLOOKUP(C427,'Field Layout'!$B$9:$AJ$35,MATCH(Index!B427,'Field Layout'!$B$8:$AJ$8,0),FALSE)</f>
        <v>1319</v>
      </c>
      <c r="B427">
        <v>16</v>
      </c>
      <c r="C427">
        <v>21</v>
      </c>
      <c r="D427">
        <v>150</v>
      </c>
      <c r="E427">
        <v>1</v>
      </c>
      <c r="F427" t="s">
        <v>750</v>
      </c>
      <c r="G427" t="s">
        <v>751</v>
      </c>
    </row>
    <row r="428" spans="1:7" x14ac:dyDescent="0.45">
      <c r="A428">
        <f>VLOOKUP(C428,'Field Layout'!$B$9:$AJ$35,MATCH(Index!B428,'Field Layout'!$B$8:$AJ$8,0),FALSE)</f>
        <v>1335</v>
      </c>
      <c r="B428">
        <v>16</v>
      </c>
      <c r="C428">
        <v>22</v>
      </c>
      <c r="D428">
        <v>150</v>
      </c>
      <c r="E428">
        <v>1</v>
      </c>
      <c r="F428" t="s">
        <v>752</v>
      </c>
      <c r="G428" t="s">
        <v>753</v>
      </c>
    </row>
    <row r="429" spans="1:7" x14ac:dyDescent="0.45">
      <c r="A429">
        <f>VLOOKUP(C429,'Field Layout'!$B$9:$AJ$35,MATCH(Index!B429,'Field Layout'!$B$8:$AJ$8,0),FALSE)</f>
        <v>1351</v>
      </c>
      <c r="B429">
        <v>16</v>
      </c>
      <c r="C429">
        <v>23</v>
      </c>
      <c r="D429">
        <v>150</v>
      </c>
      <c r="E429">
        <v>1</v>
      </c>
      <c r="F429" t="s">
        <v>754</v>
      </c>
      <c r="G429" t="s">
        <v>755</v>
      </c>
    </row>
    <row r="430" spans="1:7" x14ac:dyDescent="0.45">
      <c r="A430">
        <f>VLOOKUP(C430,'Field Layout'!$B$9:$AJ$35,MATCH(Index!B430,'Field Layout'!$B$8:$AJ$8,0),FALSE)</f>
        <v>1367</v>
      </c>
      <c r="B430">
        <v>16</v>
      </c>
      <c r="C430">
        <v>24</v>
      </c>
      <c r="D430">
        <v>150</v>
      </c>
      <c r="E430">
        <v>1</v>
      </c>
      <c r="F430" t="s">
        <v>756</v>
      </c>
      <c r="G430" t="s">
        <v>119</v>
      </c>
    </row>
    <row r="431" spans="1:7" x14ac:dyDescent="0.45">
      <c r="A431">
        <f>VLOOKUP(C431,'Field Layout'!$B$9:$AJ$35,MATCH(Index!B431,'Field Layout'!$B$8:$AJ$8,0),FALSE)</f>
        <v>1383</v>
      </c>
      <c r="B431">
        <v>16</v>
      </c>
      <c r="C431">
        <v>25</v>
      </c>
      <c r="D431">
        <v>150</v>
      </c>
      <c r="E431">
        <v>1</v>
      </c>
      <c r="F431" t="s">
        <v>757</v>
      </c>
      <c r="G431" t="s">
        <v>119</v>
      </c>
    </row>
    <row r="432" spans="1:7" x14ac:dyDescent="0.45">
      <c r="A432">
        <f>VLOOKUP(C432,'Field Layout'!$B$9:$AJ$35,MATCH(Index!B432,'Field Layout'!$B$8:$AJ$8,0),FALSE)</f>
        <v>1399</v>
      </c>
      <c r="B432">
        <v>16</v>
      </c>
      <c r="C432">
        <v>26</v>
      </c>
      <c r="D432">
        <v>150</v>
      </c>
      <c r="E432">
        <v>1</v>
      </c>
      <c r="F432" t="s">
        <v>94</v>
      </c>
      <c r="G432" t="e">
        <v>#N/A</v>
      </c>
    </row>
    <row r="433" spans="1:7" x14ac:dyDescent="0.45">
      <c r="A433" t="str">
        <f>VLOOKUP(C433,'Field Layout'!$B$9:$AJ$35,MATCH(Index!B433,'Field Layout'!$B$8:$AJ$8,0),FALSE)</f>
        <v>Border</v>
      </c>
      <c r="B433">
        <v>16</v>
      </c>
      <c r="C433">
        <v>27</v>
      </c>
      <c r="D433">
        <v>150</v>
      </c>
      <c r="E433" t="s">
        <v>54</v>
      </c>
      <c r="F433" t="s">
        <v>92</v>
      </c>
      <c r="G433" t="s">
        <v>99</v>
      </c>
    </row>
    <row r="434" spans="1:7" x14ac:dyDescent="0.45">
      <c r="A434" t="str">
        <f>VLOOKUP(C434,'Field Layout'!$B$9:$AJ$35,MATCH(Index!B434,'Field Layout'!$B$8:$AJ$8,0),FALSE)</f>
        <v>Border</v>
      </c>
      <c r="B434">
        <v>17</v>
      </c>
      <c r="C434">
        <v>1</v>
      </c>
      <c r="D434">
        <v>150</v>
      </c>
      <c r="E434" t="s">
        <v>54</v>
      </c>
      <c r="F434" t="s">
        <v>92</v>
      </c>
      <c r="G434" t="s">
        <v>99</v>
      </c>
    </row>
    <row r="435" spans="1:7" x14ac:dyDescent="0.45">
      <c r="A435">
        <f>VLOOKUP(C435,'Field Layout'!$B$9:$AJ$35,MATCH(Index!B435,'Field Layout'!$B$8:$AJ$8,0),FALSE)</f>
        <v>1016</v>
      </c>
      <c r="B435">
        <v>17</v>
      </c>
      <c r="C435">
        <v>2</v>
      </c>
      <c r="D435">
        <v>150</v>
      </c>
      <c r="E435">
        <v>1</v>
      </c>
      <c r="F435" t="s">
        <v>758</v>
      </c>
      <c r="G435" t="s">
        <v>759</v>
      </c>
    </row>
    <row r="436" spans="1:7" x14ac:dyDescent="0.45">
      <c r="A436">
        <f>VLOOKUP(C436,'Field Layout'!$B$9:$AJ$35,MATCH(Index!B436,'Field Layout'!$B$8:$AJ$8,0),FALSE)</f>
        <v>1032</v>
      </c>
      <c r="B436">
        <v>17</v>
      </c>
      <c r="C436">
        <v>3</v>
      </c>
      <c r="D436">
        <v>150</v>
      </c>
      <c r="E436">
        <v>1</v>
      </c>
      <c r="F436" t="s">
        <v>760</v>
      </c>
      <c r="G436" t="s">
        <v>761</v>
      </c>
    </row>
    <row r="437" spans="1:7" x14ac:dyDescent="0.45">
      <c r="A437">
        <f>VLOOKUP(C437,'Field Layout'!$B$9:$AJ$35,MATCH(Index!B437,'Field Layout'!$B$8:$AJ$8,0),FALSE)</f>
        <v>1048</v>
      </c>
      <c r="B437">
        <v>17</v>
      </c>
      <c r="C437">
        <v>4</v>
      </c>
      <c r="D437">
        <v>150</v>
      </c>
      <c r="E437">
        <v>1</v>
      </c>
      <c r="F437" t="s">
        <v>762</v>
      </c>
      <c r="G437" t="s">
        <v>763</v>
      </c>
    </row>
    <row r="438" spans="1:7" x14ac:dyDescent="0.45">
      <c r="A438">
        <f>VLOOKUP(C438,'Field Layout'!$B$9:$AJ$35,MATCH(Index!B438,'Field Layout'!$B$8:$AJ$8,0),FALSE)</f>
        <v>1064</v>
      </c>
      <c r="B438">
        <v>17</v>
      </c>
      <c r="C438">
        <v>5</v>
      </c>
      <c r="D438">
        <v>150</v>
      </c>
      <c r="E438">
        <v>1</v>
      </c>
      <c r="F438" t="s">
        <v>764</v>
      </c>
      <c r="G438" t="s">
        <v>765</v>
      </c>
    </row>
    <row r="439" spans="1:7" x14ac:dyDescent="0.45">
      <c r="A439">
        <f>VLOOKUP(C439,'Field Layout'!$B$9:$AJ$35,MATCH(Index!B439,'Field Layout'!$B$8:$AJ$8,0),FALSE)</f>
        <v>1080</v>
      </c>
      <c r="B439">
        <v>17</v>
      </c>
      <c r="C439">
        <v>6</v>
      </c>
      <c r="D439">
        <v>150</v>
      </c>
      <c r="E439">
        <v>1</v>
      </c>
      <c r="F439" t="s">
        <v>766</v>
      </c>
      <c r="G439" t="s">
        <v>767</v>
      </c>
    </row>
    <row r="440" spans="1:7" x14ac:dyDescent="0.45">
      <c r="A440">
        <f>VLOOKUP(C440,'Field Layout'!$B$9:$AJ$35,MATCH(Index!B440,'Field Layout'!$B$8:$AJ$8,0),FALSE)</f>
        <v>1096</v>
      </c>
      <c r="B440">
        <v>17</v>
      </c>
      <c r="C440">
        <v>7</v>
      </c>
      <c r="D440">
        <v>150</v>
      </c>
      <c r="E440">
        <v>1</v>
      </c>
      <c r="F440" t="s">
        <v>768</v>
      </c>
      <c r="G440" t="s">
        <v>769</v>
      </c>
    </row>
    <row r="441" spans="1:7" x14ac:dyDescent="0.45">
      <c r="A441">
        <f>VLOOKUP(C441,'Field Layout'!$B$9:$AJ$35,MATCH(Index!B441,'Field Layout'!$B$8:$AJ$8,0),FALSE)</f>
        <v>1112</v>
      </c>
      <c r="B441">
        <v>17</v>
      </c>
      <c r="C441">
        <v>8</v>
      </c>
      <c r="D441">
        <v>150</v>
      </c>
      <c r="E441">
        <v>1</v>
      </c>
      <c r="F441" t="s">
        <v>770</v>
      </c>
      <c r="G441" t="s">
        <v>771</v>
      </c>
    </row>
    <row r="442" spans="1:7" x14ac:dyDescent="0.45">
      <c r="A442">
        <f>VLOOKUP(C442,'Field Layout'!$B$9:$AJ$35,MATCH(Index!B442,'Field Layout'!$B$8:$AJ$8,0),FALSE)</f>
        <v>1128</v>
      </c>
      <c r="B442">
        <v>17</v>
      </c>
      <c r="C442">
        <v>9</v>
      </c>
      <c r="D442">
        <v>150</v>
      </c>
      <c r="E442">
        <v>1</v>
      </c>
      <c r="F442" t="s">
        <v>772</v>
      </c>
      <c r="G442" t="s">
        <v>773</v>
      </c>
    </row>
    <row r="443" spans="1:7" x14ac:dyDescent="0.45">
      <c r="A443">
        <f>VLOOKUP(C443,'Field Layout'!$B$9:$AJ$35,MATCH(Index!B443,'Field Layout'!$B$8:$AJ$8,0),FALSE)</f>
        <v>1144</v>
      </c>
      <c r="B443">
        <v>17</v>
      </c>
      <c r="C443">
        <v>10</v>
      </c>
      <c r="D443">
        <v>150</v>
      </c>
      <c r="E443">
        <v>1</v>
      </c>
      <c r="F443" t="s">
        <v>774</v>
      </c>
      <c r="G443" t="s">
        <v>775</v>
      </c>
    </row>
    <row r="444" spans="1:7" x14ac:dyDescent="0.45">
      <c r="A444">
        <f>VLOOKUP(C444,'Field Layout'!$B$9:$AJ$35,MATCH(Index!B444,'Field Layout'!$B$8:$AJ$8,0),FALSE)</f>
        <v>1160</v>
      </c>
      <c r="B444">
        <v>17</v>
      </c>
      <c r="C444">
        <v>11</v>
      </c>
      <c r="D444">
        <v>150</v>
      </c>
      <c r="E444">
        <v>1</v>
      </c>
      <c r="F444" t="s">
        <v>776</v>
      </c>
      <c r="G444" t="s">
        <v>777</v>
      </c>
    </row>
    <row r="445" spans="1:7" x14ac:dyDescent="0.45">
      <c r="A445">
        <f>VLOOKUP(C445,'Field Layout'!$B$9:$AJ$35,MATCH(Index!B445,'Field Layout'!$B$8:$AJ$8,0),FALSE)</f>
        <v>1176</v>
      </c>
      <c r="B445">
        <v>17</v>
      </c>
      <c r="C445">
        <v>12</v>
      </c>
      <c r="D445">
        <v>150</v>
      </c>
      <c r="E445">
        <v>1</v>
      </c>
      <c r="F445" t="s">
        <v>778</v>
      </c>
      <c r="G445" t="s">
        <v>779</v>
      </c>
    </row>
    <row r="446" spans="1:7" x14ac:dyDescent="0.45">
      <c r="A446">
        <f>VLOOKUP(C446,'Field Layout'!$B$9:$AJ$35,MATCH(Index!B446,'Field Layout'!$B$8:$AJ$8,0),FALSE)</f>
        <v>1192</v>
      </c>
      <c r="B446">
        <v>17</v>
      </c>
      <c r="C446">
        <v>13</v>
      </c>
      <c r="D446">
        <v>150</v>
      </c>
      <c r="E446">
        <v>1</v>
      </c>
      <c r="F446" t="s">
        <v>780</v>
      </c>
      <c r="G446" t="s">
        <v>781</v>
      </c>
    </row>
    <row r="447" spans="1:7" x14ac:dyDescent="0.45">
      <c r="A447">
        <f>VLOOKUP(C447,'Field Layout'!$B$9:$AJ$35,MATCH(Index!B447,'Field Layout'!$B$8:$AJ$8,0),FALSE)</f>
        <v>1208</v>
      </c>
      <c r="B447">
        <v>17</v>
      </c>
      <c r="C447">
        <v>14</v>
      </c>
      <c r="D447">
        <v>150</v>
      </c>
      <c r="E447">
        <v>1</v>
      </c>
      <c r="F447" t="s">
        <v>118</v>
      </c>
      <c r="G447" t="s">
        <v>119</v>
      </c>
    </row>
    <row r="448" spans="1:7" x14ac:dyDescent="0.45">
      <c r="A448">
        <f>VLOOKUP(C448,'Field Layout'!$B$9:$AJ$35,MATCH(Index!B448,'Field Layout'!$B$8:$AJ$8,0),FALSE)</f>
        <v>1224</v>
      </c>
      <c r="B448">
        <v>17</v>
      </c>
      <c r="C448">
        <v>15</v>
      </c>
      <c r="D448">
        <v>150</v>
      </c>
      <c r="E448">
        <v>1</v>
      </c>
      <c r="F448" t="s">
        <v>782</v>
      </c>
      <c r="G448" t="s">
        <v>783</v>
      </c>
    </row>
    <row r="449" spans="1:7" x14ac:dyDescent="0.45">
      <c r="A449">
        <f>VLOOKUP(C449,'Field Layout'!$B$9:$AJ$35,MATCH(Index!B449,'Field Layout'!$B$8:$AJ$8,0),FALSE)</f>
        <v>1240</v>
      </c>
      <c r="B449">
        <v>17</v>
      </c>
      <c r="C449">
        <v>16</v>
      </c>
      <c r="D449">
        <v>150</v>
      </c>
      <c r="E449">
        <v>1</v>
      </c>
      <c r="F449" t="s">
        <v>784</v>
      </c>
      <c r="G449" t="s">
        <v>785</v>
      </c>
    </row>
    <row r="450" spans="1:7" x14ac:dyDescent="0.45">
      <c r="A450">
        <f>VLOOKUP(C450,'Field Layout'!$B$9:$AJ$35,MATCH(Index!B450,'Field Layout'!$B$8:$AJ$8,0),FALSE)</f>
        <v>1256</v>
      </c>
      <c r="B450">
        <v>17</v>
      </c>
      <c r="C450">
        <v>17</v>
      </c>
      <c r="D450">
        <v>150</v>
      </c>
      <c r="E450">
        <v>1</v>
      </c>
      <c r="F450" t="s">
        <v>786</v>
      </c>
      <c r="G450" t="s">
        <v>787</v>
      </c>
    </row>
    <row r="451" spans="1:7" x14ac:dyDescent="0.45">
      <c r="A451">
        <f>VLOOKUP(C451,'Field Layout'!$B$9:$AJ$35,MATCH(Index!B451,'Field Layout'!$B$8:$AJ$8,0),FALSE)</f>
        <v>1272</v>
      </c>
      <c r="B451">
        <v>17</v>
      </c>
      <c r="C451">
        <v>18</v>
      </c>
      <c r="D451">
        <v>150</v>
      </c>
      <c r="E451">
        <v>1</v>
      </c>
      <c r="F451" t="s">
        <v>788</v>
      </c>
      <c r="G451" t="s">
        <v>789</v>
      </c>
    </row>
    <row r="452" spans="1:7" x14ac:dyDescent="0.45">
      <c r="A452">
        <f>VLOOKUP(C452,'Field Layout'!$B$9:$AJ$35,MATCH(Index!B452,'Field Layout'!$B$8:$AJ$8,0),FALSE)</f>
        <v>1288</v>
      </c>
      <c r="B452">
        <v>17</v>
      </c>
      <c r="C452">
        <v>19</v>
      </c>
      <c r="D452">
        <v>150</v>
      </c>
      <c r="E452">
        <v>1</v>
      </c>
      <c r="F452" t="s">
        <v>790</v>
      </c>
      <c r="G452" t="s">
        <v>791</v>
      </c>
    </row>
    <row r="453" spans="1:7" x14ac:dyDescent="0.45">
      <c r="A453">
        <f>VLOOKUP(C453,'Field Layout'!$B$9:$AJ$35,MATCH(Index!B453,'Field Layout'!$B$8:$AJ$8,0),FALSE)</f>
        <v>1304</v>
      </c>
      <c r="B453">
        <v>17</v>
      </c>
      <c r="C453">
        <v>20</v>
      </c>
      <c r="D453">
        <v>150</v>
      </c>
      <c r="E453">
        <v>1</v>
      </c>
      <c r="F453" t="s">
        <v>792</v>
      </c>
      <c r="G453" t="s">
        <v>793</v>
      </c>
    </row>
    <row r="454" spans="1:7" x14ac:dyDescent="0.45">
      <c r="A454">
        <f>VLOOKUP(C454,'Field Layout'!$B$9:$AJ$35,MATCH(Index!B454,'Field Layout'!$B$8:$AJ$8,0),FALSE)</f>
        <v>1320</v>
      </c>
      <c r="B454">
        <v>17</v>
      </c>
      <c r="C454">
        <v>21</v>
      </c>
      <c r="D454">
        <v>150</v>
      </c>
      <c r="E454">
        <v>1</v>
      </c>
      <c r="F454" t="s">
        <v>794</v>
      </c>
      <c r="G454" t="s">
        <v>795</v>
      </c>
    </row>
    <row r="455" spans="1:7" x14ac:dyDescent="0.45">
      <c r="A455">
        <f>VLOOKUP(C455,'Field Layout'!$B$9:$AJ$35,MATCH(Index!B455,'Field Layout'!$B$8:$AJ$8,0),FALSE)</f>
        <v>1336</v>
      </c>
      <c r="B455">
        <v>17</v>
      </c>
      <c r="C455">
        <v>22</v>
      </c>
      <c r="D455">
        <v>150</v>
      </c>
      <c r="E455">
        <v>1</v>
      </c>
      <c r="F455" t="s">
        <v>796</v>
      </c>
      <c r="G455" t="s">
        <v>797</v>
      </c>
    </row>
    <row r="456" spans="1:7" x14ac:dyDescent="0.45">
      <c r="A456">
        <f>VLOOKUP(C456,'Field Layout'!$B$9:$AJ$35,MATCH(Index!B456,'Field Layout'!$B$8:$AJ$8,0),FALSE)</f>
        <v>1352</v>
      </c>
      <c r="B456">
        <v>17</v>
      </c>
      <c r="C456">
        <v>23</v>
      </c>
      <c r="D456">
        <v>150</v>
      </c>
      <c r="E456">
        <v>1</v>
      </c>
      <c r="F456" t="s">
        <v>798</v>
      </c>
      <c r="G456" t="s">
        <v>799</v>
      </c>
    </row>
    <row r="457" spans="1:7" x14ac:dyDescent="0.45">
      <c r="A457">
        <f>VLOOKUP(C457,'Field Layout'!$B$9:$AJ$35,MATCH(Index!B457,'Field Layout'!$B$8:$AJ$8,0),FALSE)</f>
        <v>1368</v>
      </c>
      <c r="B457">
        <v>17</v>
      </c>
      <c r="C457">
        <v>24</v>
      </c>
      <c r="D457">
        <v>150</v>
      </c>
      <c r="E457">
        <v>1</v>
      </c>
      <c r="F457" t="s">
        <v>800</v>
      </c>
      <c r="G457" t="s">
        <v>801</v>
      </c>
    </row>
    <row r="458" spans="1:7" x14ac:dyDescent="0.45">
      <c r="A458">
        <f>VLOOKUP(C458,'Field Layout'!$B$9:$AJ$35,MATCH(Index!B458,'Field Layout'!$B$8:$AJ$8,0),FALSE)</f>
        <v>1384</v>
      </c>
      <c r="B458">
        <v>17</v>
      </c>
      <c r="C458">
        <v>25</v>
      </c>
      <c r="D458">
        <v>150</v>
      </c>
      <c r="E458">
        <v>1</v>
      </c>
      <c r="F458" t="s">
        <v>802</v>
      </c>
      <c r="G458" t="s">
        <v>803</v>
      </c>
    </row>
    <row r="459" spans="1:7" x14ac:dyDescent="0.45">
      <c r="A459">
        <f>VLOOKUP(C459,'Field Layout'!$B$9:$AJ$35,MATCH(Index!B459,'Field Layout'!$B$8:$AJ$8,0),FALSE)</f>
        <v>1400</v>
      </c>
      <c r="B459">
        <v>17</v>
      </c>
      <c r="C459">
        <v>26</v>
      </c>
      <c r="D459">
        <v>150</v>
      </c>
      <c r="E459">
        <v>1</v>
      </c>
      <c r="F459" t="s">
        <v>94</v>
      </c>
      <c r="G459" t="e">
        <v>#N/A</v>
      </c>
    </row>
    <row r="460" spans="1:7" x14ac:dyDescent="0.45">
      <c r="A460" t="str">
        <f>VLOOKUP(C460,'Field Layout'!$B$9:$AJ$35,MATCH(Index!B460,'Field Layout'!$B$8:$AJ$8,0),FALSE)</f>
        <v>Border</v>
      </c>
      <c r="B460">
        <v>17</v>
      </c>
      <c r="C460">
        <v>27</v>
      </c>
      <c r="D460">
        <v>150</v>
      </c>
      <c r="E460" t="s">
        <v>54</v>
      </c>
      <c r="F460" t="s">
        <v>92</v>
      </c>
      <c r="G460" t="s">
        <v>99</v>
      </c>
    </row>
    <row r="461" spans="1:7" x14ac:dyDescent="0.45">
      <c r="A461" t="str">
        <f>VLOOKUP(C461,'Field Layout'!$B$9:$AJ$35,MATCH(Index!B461,'Field Layout'!$B$8:$AJ$8,0),FALSE)</f>
        <v>Border</v>
      </c>
      <c r="B461">
        <v>18</v>
      </c>
      <c r="C461">
        <v>1</v>
      </c>
      <c r="D461">
        <v>150</v>
      </c>
      <c r="E461" t="s">
        <v>54</v>
      </c>
      <c r="F461" t="s">
        <v>92</v>
      </c>
      <c r="G461" t="s">
        <v>99</v>
      </c>
    </row>
    <row r="462" spans="1:7" x14ac:dyDescent="0.45">
      <c r="A462">
        <f>VLOOKUP(C462,'Field Layout'!$B$9:$AJ$35,MATCH(Index!B462,'Field Layout'!$B$8:$AJ$8,0),FALSE)</f>
        <v>2001</v>
      </c>
      <c r="B462">
        <v>18</v>
      </c>
      <c r="C462">
        <v>2</v>
      </c>
      <c r="D462">
        <v>150</v>
      </c>
      <c r="E462">
        <v>2</v>
      </c>
      <c r="F462" t="s">
        <v>366</v>
      </c>
      <c r="G462" t="s">
        <v>367</v>
      </c>
    </row>
    <row r="463" spans="1:7" x14ac:dyDescent="0.45">
      <c r="A463">
        <f>VLOOKUP(C463,'Field Layout'!$B$9:$AJ$35,MATCH(Index!B463,'Field Layout'!$B$8:$AJ$8,0),FALSE)</f>
        <v>2017</v>
      </c>
      <c r="B463">
        <v>18</v>
      </c>
      <c r="C463">
        <v>3</v>
      </c>
      <c r="D463">
        <v>150</v>
      </c>
      <c r="E463">
        <v>2</v>
      </c>
      <c r="F463" t="s">
        <v>231</v>
      </c>
      <c r="G463" t="s">
        <v>232</v>
      </c>
    </row>
    <row r="464" spans="1:7" x14ac:dyDescent="0.45">
      <c r="A464">
        <f>VLOOKUP(C464,'Field Layout'!$B$9:$AJ$35,MATCH(Index!B464,'Field Layout'!$B$8:$AJ$8,0),FALSE)</f>
        <v>2033</v>
      </c>
      <c r="B464">
        <v>18</v>
      </c>
      <c r="C464">
        <v>4</v>
      </c>
      <c r="D464">
        <v>150</v>
      </c>
      <c r="E464">
        <v>2</v>
      </c>
      <c r="F464" t="s">
        <v>666</v>
      </c>
      <c r="G464" t="s">
        <v>667</v>
      </c>
    </row>
    <row r="465" spans="1:7" x14ac:dyDescent="0.45">
      <c r="A465">
        <f>VLOOKUP(C465,'Field Layout'!$B$9:$AJ$35,MATCH(Index!B465,'Field Layout'!$B$8:$AJ$8,0),FALSE)</f>
        <v>2049</v>
      </c>
      <c r="B465">
        <v>18</v>
      </c>
      <c r="C465">
        <v>5</v>
      </c>
      <c r="D465">
        <v>150</v>
      </c>
      <c r="E465">
        <v>2</v>
      </c>
      <c r="F465" t="s">
        <v>670</v>
      </c>
      <c r="G465" t="s">
        <v>671</v>
      </c>
    </row>
    <row r="466" spans="1:7" x14ac:dyDescent="0.45">
      <c r="A466">
        <f>VLOOKUP(C466,'Field Layout'!$B$9:$AJ$35,MATCH(Index!B466,'Field Layout'!$B$8:$AJ$8,0),FALSE)</f>
        <v>2065</v>
      </c>
      <c r="B466">
        <v>18</v>
      </c>
      <c r="C466">
        <v>6</v>
      </c>
      <c r="D466">
        <v>150</v>
      </c>
      <c r="E466">
        <v>2</v>
      </c>
      <c r="F466" t="s">
        <v>307</v>
      </c>
      <c r="G466" t="s">
        <v>119</v>
      </c>
    </row>
    <row r="467" spans="1:7" x14ac:dyDescent="0.45">
      <c r="A467">
        <f>VLOOKUP(C467,'Field Layout'!$B$9:$AJ$35,MATCH(Index!B467,'Field Layout'!$B$8:$AJ$8,0),FALSE)</f>
        <v>2081</v>
      </c>
      <c r="B467">
        <v>18</v>
      </c>
      <c r="C467">
        <v>7</v>
      </c>
      <c r="D467">
        <v>150</v>
      </c>
      <c r="E467">
        <v>2</v>
      </c>
      <c r="F467" t="s">
        <v>514</v>
      </c>
      <c r="G467" t="s">
        <v>515</v>
      </c>
    </row>
    <row r="468" spans="1:7" x14ac:dyDescent="0.45">
      <c r="A468">
        <f>VLOOKUP(C468,'Field Layout'!$B$9:$AJ$35,MATCH(Index!B468,'Field Layout'!$B$8:$AJ$8,0),FALSE)</f>
        <v>2097</v>
      </c>
      <c r="B468">
        <v>18</v>
      </c>
      <c r="C468">
        <v>8</v>
      </c>
      <c r="D468">
        <v>150</v>
      </c>
      <c r="E468">
        <v>2</v>
      </c>
      <c r="F468" t="s">
        <v>120</v>
      </c>
      <c r="G468" t="s">
        <v>121</v>
      </c>
    </row>
    <row r="469" spans="1:7" x14ac:dyDescent="0.45">
      <c r="A469">
        <f>VLOOKUP(C469,'Field Layout'!$B$9:$AJ$35,MATCH(Index!B469,'Field Layout'!$B$8:$AJ$8,0),FALSE)</f>
        <v>2113</v>
      </c>
      <c r="B469">
        <v>18</v>
      </c>
      <c r="C469">
        <v>9</v>
      </c>
      <c r="D469">
        <v>150</v>
      </c>
      <c r="E469">
        <v>2</v>
      </c>
      <c r="F469" t="s">
        <v>299</v>
      </c>
      <c r="G469" t="s">
        <v>300</v>
      </c>
    </row>
    <row r="470" spans="1:7" x14ac:dyDescent="0.45">
      <c r="A470">
        <f>VLOOKUP(C470,'Field Layout'!$B$9:$AJ$35,MATCH(Index!B470,'Field Layout'!$B$8:$AJ$8,0),FALSE)</f>
        <v>2129</v>
      </c>
      <c r="B470">
        <v>18</v>
      </c>
      <c r="C470">
        <v>10</v>
      </c>
      <c r="D470">
        <v>150</v>
      </c>
      <c r="E470">
        <v>2</v>
      </c>
      <c r="F470" t="s">
        <v>734</v>
      </c>
      <c r="G470" t="s">
        <v>735</v>
      </c>
    </row>
    <row r="471" spans="1:7" x14ac:dyDescent="0.45">
      <c r="A471">
        <f>VLOOKUP(C471,'Field Layout'!$B$9:$AJ$35,MATCH(Index!B471,'Field Layout'!$B$8:$AJ$8,0),FALSE)</f>
        <v>2145</v>
      </c>
      <c r="B471">
        <v>18</v>
      </c>
      <c r="C471">
        <v>11</v>
      </c>
      <c r="D471">
        <v>150</v>
      </c>
      <c r="E471">
        <v>2</v>
      </c>
      <c r="F471" t="s">
        <v>191</v>
      </c>
      <c r="G471" t="s">
        <v>192</v>
      </c>
    </row>
    <row r="472" spans="1:7" x14ac:dyDescent="0.45">
      <c r="A472">
        <f>VLOOKUP(C472,'Field Layout'!$B$9:$AJ$35,MATCH(Index!B472,'Field Layout'!$B$8:$AJ$8,0),FALSE)</f>
        <v>2161</v>
      </c>
      <c r="B472">
        <v>18</v>
      </c>
      <c r="C472">
        <v>12</v>
      </c>
      <c r="D472">
        <v>150</v>
      </c>
      <c r="E472">
        <v>2</v>
      </c>
      <c r="F472" t="s">
        <v>422</v>
      </c>
      <c r="G472" t="s">
        <v>423</v>
      </c>
    </row>
    <row r="473" spans="1:7" x14ac:dyDescent="0.45">
      <c r="A473">
        <f>VLOOKUP(C473,'Field Layout'!$B$9:$AJ$35,MATCH(Index!B473,'Field Layout'!$B$8:$AJ$8,0),FALSE)</f>
        <v>2177</v>
      </c>
      <c r="B473">
        <v>18</v>
      </c>
      <c r="C473">
        <v>13</v>
      </c>
      <c r="D473">
        <v>150</v>
      </c>
      <c r="E473">
        <v>2</v>
      </c>
      <c r="F473" t="s">
        <v>544</v>
      </c>
      <c r="G473" t="s">
        <v>545</v>
      </c>
    </row>
    <row r="474" spans="1:7" x14ac:dyDescent="0.45">
      <c r="A474">
        <f>VLOOKUP(C474,'Field Layout'!$B$9:$AJ$35,MATCH(Index!B474,'Field Layout'!$B$8:$AJ$8,0),FALSE)</f>
        <v>2193</v>
      </c>
      <c r="B474">
        <v>18</v>
      </c>
      <c r="C474">
        <v>14</v>
      </c>
      <c r="D474">
        <v>150</v>
      </c>
      <c r="E474">
        <v>2</v>
      </c>
      <c r="F474" t="s">
        <v>458</v>
      </c>
      <c r="G474" t="s">
        <v>459</v>
      </c>
    </row>
    <row r="475" spans="1:7" x14ac:dyDescent="0.45">
      <c r="A475">
        <f>VLOOKUP(C475,'Field Layout'!$B$9:$AJ$35,MATCH(Index!B475,'Field Layout'!$B$8:$AJ$8,0),FALSE)</f>
        <v>2209</v>
      </c>
      <c r="B475">
        <v>18</v>
      </c>
      <c r="C475">
        <v>15</v>
      </c>
      <c r="D475">
        <v>150</v>
      </c>
      <c r="E475">
        <v>2</v>
      </c>
      <c r="F475" t="s">
        <v>110</v>
      </c>
      <c r="G475" t="s">
        <v>111</v>
      </c>
    </row>
    <row r="476" spans="1:7" x14ac:dyDescent="0.45">
      <c r="A476">
        <f>VLOOKUP(C476,'Field Layout'!$B$9:$AJ$35,MATCH(Index!B476,'Field Layout'!$B$8:$AJ$8,0),FALSE)</f>
        <v>2225</v>
      </c>
      <c r="B476">
        <v>18</v>
      </c>
      <c r="C476">
        <v>16</v>
      </c>
      <c r="D476">
        <v>150</v>
      </c>
      <c r="E476">
        <v>2</v>
      </c>
      <c r="F476" t="s">
        <v>201</v>
      </c>
      <c r="G476" t="s">
        <v>202</v>
      </c>
    </row>
    <row r="477" spans="1:7" x14ac:dyDescent="0.45">
      <c r="A477">
        <f>VLOOKUP(C477,'Field Layout'!$B$9:$AJ$35,MATCH(Index!B477,'Field Layout'!$B$8:$AJ$8,0),FALSE)</f>
        <v>2241</v>
      </c>
      <c r="B477">
        <v>18</v>
      </c>
      <c r="C477">
        <v>17</v>
      </c>
      <c r="D477">
        <v>150</v>
      </c>
      <c r="E477">
        <v>2</v>
      </c>
      <c r="F477" t="s">
        <v>237</v>
      </c>
      <c r="G477" t="s">
        <v>238</v>
      </c>
    </row>
    <row r="478" spans="1:7" x14ac:dyDescent="0.45">
      <c r="A478">
        <f>VLOOKUP(C478,'Field Layout'!$B$9:$AJ$35,MATCH(Index!B478,'Field Layout'!$B$8:$AJ$8,0),FALSE)</f>
        <v>2257</v>
      </c>
      <c r="B478">
        <v>18</v>
      </c>
      <c r="C478">
        <v>18</v>
      </c>
      <c r="D478">
        <v>150</v>
      </c>
      <c r="E478">
        <v>2</v>
      </c>
      <c r="F478" t="s">
        <v>147</v>
      </c>
      <c r="G478" t="s">
        <v>148</v>
      </c>
    </row>
    <row r="479" spans="1:7" x14ac:dyDescent="0.45">
      <c r="A479">
        <f>VLOOKUP(C479,'Field Layout'!$B$9:$AJ$35,MATCH(Index!B479,'Field Layout'!$B$8:$AJ$8,0),FALSE)</f>
        <v>2273</v>
      </c>
      <c r="B479">
        <v>18</v>
      </c>
      <c r="C479">
        <v>19</v>
      </c>
      <c r="D479">
        <v>150</v>
      </c>
      <c r="E479">
        <v>2</v>
      </c>
      <c r="F479" t="s">
        <v>310</v>
      </c>
      <c r="G479" t="s">
        <v>311</v>
      </c>
    </row>
    <row r="480" spans="1:7" x14ac:dyDescent="0.45">
      <c r="A480">
        <f>VLOOKUP(C480,'Field Layout'!$B$9:$AJ$35,MATCH(Index!B480,'Field Layout'!$B$8:$AJ$8,0),FALSE)</f>
        <v>2289</v>
      </c>
      <c r="B480">
        <v>18</v>
      </c>
      <c r="C480">
        <v>20</v>
      </c>
      <c r="D480">
        <v>150</v>
      </c>
      <c r="E480">
        <v>2</v>
      </c>
      <c r="F480" t="s">
        <v>305</v>
      </c>
      <c r="G480" t="s">
        <v>306</v>
      </c>
    </row>
    <row r="481" spans="1:7" x14ac:dyDescent="0.45">
      <c r="A481">
        <f>VLOOKUP(C481,'Field Layout'!$B$9:$AJ$35,MATCH(Index!B481,'Field Layout'!$B$8:$AJ$8,0),FALSE)</f>
        <v>2305</v>
      </c>
      <c r="B481">
        <v>18</v>
      </c>
      <c r="C481">
        <v>21</v>
      </c>
      <c r="D481">
        <v>150</v>
      </c>
      <c r="E481">
        <v>2</v>
      </c>
      <c r="F481" t="s">
        <v>388</v>
      </c>
      <c r="G481" t="s">
        <v>389</v>
      </c>
    </row>
    <row r="482" spans="1:7" x14ac:dyDescent="0.45">
      <c r="A482">
        <f>VLOOKUP(C482,'Field Layout'!$B$9:$AJ$35,MATCH(Index!B482,'Field Layout'!$B$8:$AJ$8,0),FALSE)</f>
        <v>2321</v>
      </c>
      <c r="B482">
        <v>18</v>
      </c>
      <c r="C482">
        <v>22</v>
      </c>
      <c r="D482">
        <v>150</v>
      </c>
      <c r="E482">
        <v>2</v>
      </c>
      <c r="F482" t="s">
        <v>748</v>
      </c>
      <c r="G482" t="s">
        <v>749</v>
      </c>
    </row>
    <row r="483" spans="1:7" x14ac:dyDescent="0.45">
      <c r="A483">
        <f>VLOOKUP(C483,'Field Layout'!$B$9:$AJ$35,MATCH(Index!B483,'Field Layout'!$B$8:$AJ$8,0),FALSE)</f>
        <v>2337</v>
      </c>
      <c r="B483">
        <v>18</v>
      </c>
      <c r="C483">
        <v>23</v>
      </c>
      <c r="D483">
        <v>150</v>
      </c>
      <c r="E483">
        <v>2</v>
      </c>
      <c r="F483" t="s">
        <v>347</v>
      </c>
      <c r="G483" t="s">
        <v>348</v>
      </c>
    </row>
    <row r="484" spans="1:7" x14ac:dyDescent="0.45">
      <c r="A484">
        <f>VLOOKUP(C484,'Field Layout'!$B$9:$AJ$35,MATCH(Index!B484,'Field Layout'!$B$8:$AJ$8,0),FALSE)</f>
        <v>2353</v>
      </c>
      <c r="B484">
        <v>18</v>
      </c>
      <c r="C484">
        <v>24</v>
      </c>
      <c r="D484">
        <v>150</v>
      </c>
      <c r="E484">
        <v>2</v>
      </c>
      <c r="F484" t="s">
        <v>790</v>
      </c>
      <c r="G484" t="s">
        <v>791</v>
      </c>
    </row>
    <row r="485" spans="1:7" x14ac:dyDescent="0.45">
      <c r="A485">
        <f>VLOOKUP(C485,'Field Layout'!$B$9:$AJ$35,MATCH(Index!B485,'Field Layout'!$B$8:$AJ$8,0),FALSE)</f>
        <v>2369</v>
      </c>
      <c r="B485">
        <v>18</v>
      </c>
      <c r="C485">
        <v>25</v>
      </c>
      <c r="D485">
        <v>150</v>
      </c>
      <c r="E485">
        <v>2</v>
      </c>
      <c r="F485" t="s">
        <v>263</v>
      </c>
      <c r="G485" t="s">
        <v>264</v>
      </c>
    </row>
    <row r="486" spans="1:7" x14ac:dyDescent="0.45">
      <c r="A486">
        <f>VLOOKUP(C486,'Field Layout'!$B$9:$AJ$35,MATCH(Index!B486,'Field Layout'!$B$8:$AJ$8,0),FALSE)</f>
        <v>2385</v>
      </c>
      <c r="B486">
        <v>18</v>
      </c>
      <c r="C486">
        <v>26</v>
      </c>
      <c r="D486">
        <v>150</v>
      </c>
      <c r="E486">
        <v>2</v>
      </c>
      <c r="F486" t="s">
        <v>126</v>
      </c>
      <c r="G486" t="s">
        <v>127</v>
      </c>
    </row>
    <row r="487" spans="1:7" x14ac:dyDescent="0.45">
      <c r="A487" t="str">
        <f>VLOOKUP(C487,'Field Layout'!$B$9:$AJ$35,MATCH(Index!B487,'Field Layout'!$B$8:$AJ$8,0),FALSE)</f>
        <v>Border</v>
      </c>
      <c r="B487">
        <v>18</v>
      </c>
      <c r="C487">
        <v>27</v>
      </c>
      <c r="D487">
        <v>150</v>
      </c>
      <c r="E487" t="s">
        <v>54</v>
      </c>
      <c r="F487" t="s">
        <v>92</v>
      </c>
      <c r="G487" t="s">
        <v>99</v>
      </c>
    </row>
    <row r="488" spans="1:7" x14ac:dyDescent="0.45">
      <c r="A488" t="str">
        <f>VLOOKUP(C488,'Field Layout'!$B$9:$AJ$35,MATCH(Index!B488,'Field Layout'!$B$8:$AJ$8,0),FALSE)</f>
        <v>Border</v>
      </c>
      <c r="B488">
        <v>19</v>
      </c>
      <c r="C488">
        <v>1</v>
      </c>
      <c r="D488">
        <v>150</v>
      </c>
      <c r="E488" t="s">
        <v>54</v>
      </c>
      <c r="F488" t="s">
        <v>92</v>
      </c>
      <c r="G488" t="s">
        <v>99</v>
      </c>
    </row>
    <row r="489" spans="1:7" x14ac:dyDescent="0.45">
      <c r="A489">
        <f>VLOOKUP(C489,'Field Layout'!$B$9:$AJ$35,MATCH(Index!B489,'Field Layout'!$B$8:$AJ$8,0),FALSE)</f>
        <v>2002</v>
      </c>
      <c r="B489">
        <v>19</v>
      </c>
      <c r="C489">
        <v>2</v>
      </c>
      <c r="D489">
        <v>150</v>
      </c>
      <c r="E489">
        <v>2</v>
      </c>
      <c r="F489" t="s">
        <v>273</v>
      </c>
      <c r="G489" t="s">
        <v>274</v>
      </c>
    </row>
    <row r="490" spans="1:7" x14ac:dyDescent="0.45">
      <c r="A490">
        <f>VLOOKUP(C490,'Field Layout'!$B$9:$AJ$35,MATCH(Index!B490,'Field Layout'!$B$8:$AJ$8,0),FALSE)</f>
        <v>2018</v>
      </c>
      <c r="B490">
        <v>19</v>
      </c>
      <c r="C490">
        <v>3</v>
      </c>
      <c r="D490">
        <v>150</v>
      </c>
      <c r="E490">
        <v>2</v>
      </c>
      <c r="F490" t="s">
        <v>227</v>
      </c>
      <c r="G490" t="s">
        <v>228</v>
      </c>
    </row>
    <row r="491" spans="1:7" x14ac:dyDescent="0.45">
      <c r="A491">
        <f>VLOOKUP(C491,'Field Layout'!$B$9:$AJ$35,MATCH(Index!B491,'Field Layout'!$B$8:$AJ$8,0),FALSE)</f>
        <v>2034</v>
      </c>
      <c r="B491">
        <v>19</v>
      </c>
      <c r="C491">
        <v>4</v>
      </c>
      <c r="D491">
        <v>150</v>
      </c>
      <c r="E491">
        <v>2</v>
      </c>
      <c r="F491" t="s">
        <v>271</v>
      </c>
      <c r="G491" t="s">
        <v>272</v>
      </c>
    </row>
    <row r="492" spans="1:7" x14ac:dyDescent="0.45">
      <c r="A492">
        <f>VLOOKUP(C492,'Field Layout'!$B$9:$AJ$35,MATCH(Index!B492,'Field Layout'!$B$8:$AJ$8,0),FALSE)</f>
        <v>2050</v>
      </c>
      <c r="B492">
        <v>19</v>
      </c>
      <c r="C492">
        <v>5</v>
      </c>
      <c r="D492">
        <v>150</v>
      </c>
      <c r="E492">
        <v>2</v>
      </c>
      <c r="F492" t="s">
        <v>754</v>
      </c>
      <c r="G492" t="s">
        <v>755</v>
      </c>
    </row>
    <row r="493" spans="1:7" x14ac:dyDescent="0.45">
      <c r="A493">
        <f>VLOOKUP(C493,'Field Layout'!$B$9:$AJ$35,MATCH(Index!B493,'Field Layout'!$B$8:$AJ$8,0),FALSE)</f>
        <v>2066</v>
      </c>
      <c r="B493">
        <v>19</v>
      </c>
      <c r="C493">
        <v>6</v>
      </c>
      <c r="D493">
        <v>150</v>
      </c>
      <c r="E493">
        <v>2</v>
      </c>
      <c r="F493" t="s">
        <v>118</v>
      </c>
      <c r="G493" t="s">
        <v>119</v>
      </c>
    </row>
    <row r="494" spans="1:7" x14ac:dyDescent="0.45">
      <c r="A494">
        <f>VLOOKUP(C494,'Field Layout'!$B$9:$AJ$35,MATCH(Index!B494,'Field Layout'!$B$8:$AJ$8,0),FALSE)</f>
        <v>2082</v>
      </c>
      <c r="B494">
        <v>19</v>
      </c>
      <c r="C494">
        <v>7</v>
      </c>
      <c r="D494">
        <v>150</v>
      </c>
      <c r="E494">
        <v>2</v>
      </c>
      <c r="F494" t="s">
        <v>686</v>
      </c>
      <c r="G494" t="s">
        <v>687</v>
      </c>
    </row>
    <row r="495" spans="1:7" x14ac:dyDescent="0.45">
      <c r="A495">
        <f>VLOOKUP(C495,'Field Layout'!$B$9:$AJ$35,MATCH(Index!B495,'Field Layout'!$B$8:$AJ$8,0),FALSE)</f>
        <v>2098</v>
      </c>
      <c r="B495">
        <v>19</v>
      </c>
      <c r="C495">
        <v>8</v>
      </c>
      <c r="D495">
        <v>150</v>
      </c>
      <c r="E495">
        <v>2</v>
      </c>
      <c r="F495" t="s">
        <v>596</v>
      </c>
      <c r="G495" t="s">
        <v>597</v>
      </c>
    </row>
    <row r="496" spans="1:7" x14ac:dyDescent="0.45">
      <c r="A496">
        <f>VLOOKUP(C496,'Field Layout'!$B$9:$AJ$35,MATCH(Index!B496,'Field Layout'!$B$8:$AJ$8,0),FALSE)</f>
        <v>2114</v>
      </c>
      <c r="B496">
        <v>19</v>
      </c>
      <c r="C496">
        <v>9</v>
      </c>
      <c r="D496">
        <v>150</v>
      </c>
      <c r="E496">
        <v>2</v>
      </c>
      <c r="F496" t="s">
        <v>301</v>
      </c>
      <c r="G496" t="s">
        <v>302</v>
      </c>
    </row>
    <row r="497" spans="1:7" x14ac:dyDescent="0.45">
      <c r="A497">
        <f>VLOOKUP(C497,'Field Layout'!$B$9:$AJ$35,MATCH(Index!B497,'Field Layout'!$B$8:$AJ$8,0),FALSE)</f>
        <v>2130</v>
      </c>
      <c r="B497">
        <v>19</v>
      </c>
      <c r="C497">
        <v>10</v>
      </c>
      <c r="D497">
        <v>150</v>
      </c>
      <c r="E497">
        <v>2</v>
      </c>
      <c r="F497" t="s">
        <v>211</v>
      </c>
      <c r="G497" t="s">
        <v>212</v>
      </c>
    </row>
    <row r="498" spans="1:7" x14ac:dyDescent="0.45">
      <c r="A498">
        <f>VLOOKUP(C498,'Field Layout'!$B$9:$AJ$35,MATCH(Index!B498,'Field Layout'!$B$8:$AJ$8,0),FALSE)</f>
        <v>2146</v>
      </c>
      <c r="B498">
        <v>19</v>
      </c>
      <c r="C498">
        <v>11</v>
      </c>
      <c r="D498">
        <v>150</v>
      </c>
      <c r="E498">
        <v>2</v>
      </c>
      <c r="F498" t="s">
        <v>674</v>
      </c>
      <c r="G498" t="s">
        <v>675</v>
      </c>
    </row>
    <row r="499" spans="1:7" x14ac:dyDescent="0.45">
      <c r="A499">
        <f>VLOOKUP(C499,'Field Layout'!$B$9:$AJ$35,MATCH(Index!B499,'Field Layout'!$B$8:$AJ$8,0),FALSE)</f>
        <v>2162</v>
      </c>
      <c r="B499">
        <v>19</v>
      </c>
      <c r="C499">
        <v>12</v>
      </c>
      <c r="D499">
        <v>150</v>
      </c>
      <c r="E499">
        <v>2</v>
      </c>
      <c r="F499" t="s">
        <v>762</v>
      </c>
      <c r="G499" t="s">
        <v>763</v>
      </c>
    </row>
    <row r="500" spans="1:7" x14ac:dyDescent="0.45">
      <c r="A500">
        <f>VLOOKUP(C500,'Field Layout'!$B$9:$AJ$35,MATCH(Index!B500,'Field Layout'!$B$8:$AJ$8,0),FALSE)</f>
        <v>2178</v>
      </c>
      <c r="B500">
        <v>19</v>
      </c>
      <c r="C500">
        <v>13</v>
      </c>
      <c r="D500">
        <v>150</v>
      </c>
      <c r="E500">
        <v>2</v>
      </c>
      <c r="F500" t="s">
        <v>722</v>
      </c>
      <c r="G500" t="s">
        <v>723</v>
      </c>
    </row>
    <row r="501" spans="1:7" x14ac:dyDescent="0.45">
      <c r="A501">
        <f>VLOOKUP(C501,'Field Layout'!$B$9:$AJ$35,MATCH(Index!B501,'Field Layout'!$B$8:$AJ$8,0),FALSE)</f>
        <v>2194</v>
      </c>
      <c r="B501">
        <v>19</v>
      </c>
      <c r="C501">
        <v>14</v>
      </c>
      <c r="D501">
        <v>150</v>
      </c>
      <c r="E501">
        <v>2</v>
      </c>
      <c r="F501" t="s">
        <v>323</v>
      </c>
      <c r="G501" t="s">
        <v>324</v>
      </c>
    </row>
    <row r="502" spans="1:7" x14ac:dyDescent="0.45">
      <c r="A502">
        <f>VLOOKUP(C502,'Field Layout'!$B$9:$AJ$35,MATCH(Index!B502,'Field Layout'!$B$8:$AJ$8,0),FALSE)</f>
        <v>2210</v>
      </c>
      <c r="B502">
        <v>19</v>
      </c>
      <c r="C502">
        <v>15</v>
      </c>
      <c r="D502">
        <v>150</v>
      </c>
      <c r="E502">
        <v>2</v>
      </c>
      <c r="F502" t="s">
        <v>193</v>
      </c>
      <c r="G502" t="s">
        <v>194</v>
      </c>
    </row>
    <row r="503" spans="1:7" x14ac:dyDescent="0.45">
      <c r="A503">
        <f>VLOOKUP(C503,'Field Layout'!$B$9:$AJ$35,MATCH(Index!B503,'Field Layout'!$B$8:$AJ$8,0),FALSE)</f>
        <v>2226</v>
      </c>
      <c r="B503">
        <v>19</v>
      </c>
      <c r="C503">
        <v>16</v>
      </c>
      <c r="D503">
        <v>150</v>
      </c>
      <c r="E503">
        <v>2</v>
      </c>
      <c r="F503" t="s">
        <v>380</v>
      </c>
      <c r="G503" t="s">
        <v>381</v>
      </c>
    </row>
    <row r="504" spans="1:7" x14ac:dyDescent="0.45">
      <c r="A504">
        <f>VLOOKUP(C504,'Field Layout'!$B$9:$AJ$35,MATCH(Index!B504,'Field Layout'!$B$8:$AJ$8,0),FALSE)</f>
        <v>2242</v>
      </c>
      <c r="B504">
        <v>19</v>
      </c>
      <c r="C504">
        <v>17</v>
      </c>
      <c r="D504">
        <v>150</v>
      </c>
      <c r="E504">
        <v>2</v>
      </c>
      <c r="F504" t="s">
        <v>500</v>
      </c>
      <c r="G504" t="s">
        <v>501</v>
      </c>
    </row>
    <row r="505" spans="1:7" x14ac:dyDescent="0.45">
      <c r="A505">
        <f>VLOOKUP(C505,'Field Layout'!$B$9:$AJ$35,MATCH(Index!B505,'Field Layout'!$B$8:$AJ$8,0),FALSE)</f>
        <v>2258</v>
      </c>
      <c r="B505">
        <v>19</v>
      </c>
      <c r="C505">
        <v>18</v>
      </c>
      <c r="D505">
        <v>150</v>
      </c>
      <c r="E505">
        <v>2</v>
      </c>
      <c r="F505" t="s">
        <v>235</v>
      </c>
      <c r="G505" t="s">
        <v>236</v>
      </c>
    </row>
    <row r="506" spans="1:7" x14ac:dyDescent="0.45">
      <c r="A506">
        <f>VLOOKUP(C506,'Field Layout'!$B$9:$AJ$35,MATCH(Index!B506,'Field Layout'!$B$8:$AJ$8,0),FALSE)</f>
        <v>2274</v>
      </c>
      <c r="B506">
        <v>19</v>
      </c>
      <c r="C506">
        <v>19</v>
      </c>
      <c r="D506">
        <v>150</v>
      </c>
      <c r="E506">
        <v>2</v>
      </c>
      <c r="F506" t="s">
        <v>444</v>
      </c>
      <c r="G506" t="s">
        <v>445</v>
      </c>
    </row>
    <row r="507" spans="1:7" x14ac:dyDescent="0.45">
      <c r="A507">
        <f>VLOOKUP(C507,'Field Layout'!$B$9:$AJ$35,MATCH(Index!B507,'Field Layout'!$B$8:$AJ$8,0),FALSE)</f>
        <v>2290</v>
      </c>
      <c r="B507">
        <v>19</v>
      </c>
      <c r="C507">
        <v>20</v>
      </c>
      <c r="D507">
        <v>150</v>
      </c>
      <c r="E507">
        <v>2</v>
      </c>
      <c r="F507" t="s">
        <v>140</v>
      </c>
      <c r="G507" t="s">
        <v>141</v>
      </c>
    </row>
    <row r="508" spans="1:7" x14ac:dyDescent="0.45">
      <c r="A508">
        <f>VLOOKUP(C508,'Field Layout'!$B$9:$AJ$35,MATCH(Index!B508,'Field Layout'!$B$8:$AJ$8,0),FALSE)</f>
        <v>2306</v>
      </c>
      <c r="B508">
        <v>19</v>
      </c>
      <c r="C508">
        <v>21</v>
      </c>
      <c r="D508">
        <v>150</v>
      </c>
      <c r="E508">
        <v>2</v>
      </c>
      <c r="F508" t="s">
        <v>664</v>
      </c>
      <c r="G508" t="s">
        <v>665</v>
      </c>
    </row>
    <row r="509" spans="1:7" x14ac:dyDescent="0.45">
      <c r="A509">
        <f>VLOOKUP(C509,'Field Layout'!$B$9:$AJ$35,MATCH(Index!B509,'Field Layout'!$B$8:$AJ$8,0),FALSE)</f>
        <v>2322</v>
      </c>
      <c r="B509">
        <v>19</v>
      </c>
      <c r="C509">
        <v>22</v>
      </c>
      <c r="D509">
        <v>150</v>
      </c>
      <c r="E509">
        <v>2</v>
      </c>
      <c r="F509" t="s">
        <v>488</v>
      </c>
      <c r="G509" t="s">
        <v>489</v>
      </c>
    </row>
    <row r="510" spans="1:7" x14ac:dyDescent="0.45">
      <c r="A510">
        <f>VLOOKUP(C510,'Field Layout'!$B$9:$AJ$35,MATCH(Index!B510,'Field Layout'!$B$8:$AJ$8,0),FALSE)</f>
        <v>2338</v>
      </c>
      <c r="B510">
        <v>19</v>
      </c>
      <c r="C510">
        <v>23</v>
      </c>
      <c r="D510">
        <v>150</v>
      </c>
      <c r="E510">
        <v>2</v>
      </c>
      <c r="F510" t="s">
        <v>702</v>
      </c>
      <c r="G510" t="s">
        <v>703</v>
      </c>
    </row>
    <row r="511" spans="1:7" x14ac:dyDescent="0.45">
      <c r="A511">
        <f>VLOOKUP(C511,'Field Layout'!$B$9:$AJ$35,MATCH(Index!B511,'Field Layout'!$B$8:$AJ$8,0),FALSE)</f>
        <v>2354</v>
      </c>
      <c r="B511">
        <v>19</v>
      </c>
      <c r="C511">
        <v>24</v>
      </c>
      <c r="D511">
        <v>150</v>
      </c>
      <c r="E511">
        <v>2</v>
      </c>
      <c r="F511" t="s">
        <v>658</v>
      </c>
      <c r="G511" t="s">
        <v>659</v>
      </c>
    </row>
    <row r="512" spans="1:7" x14ac:dyDescent="0.45">
      <c r="A512">
        <f>VLOOKUP(C512,'Field Layout'!$B$9:$AJ$35,MATCH(Index!B512,'Field Layout'!$B$8:$AJ$8,0),FALSE)</f>
        <v>2370</v>
      </c>
      <c r="B512">
        <v>19</v>
      </c>
      <c r="C512">
        <v>25</v>
      </c>
      <c r="D512">
        <v>150</v>
      </c>
      <c r="E512">
        <v>2</v>
      </c>
      <c r="F512" t="s">
        <v>436</v>
      </c>
      <c r="G512" t="s">
        <v>437</v>
      </c>
    </row>
    <row r="513" spans="1:7" x14ac:dyDescent="0.45">
      <c r="A513">
        <f>VLOOKUP(C513,'Field Layout'!$B$9:$AJ$35,MATCH(Index!B513,'Field Layout'!$B$8:$AJ$8,0),FALSE)</f>
        <v>2386</v>
      </c>
      <c r="B513">
        <v>19</v>
      </c>
      <c r="C513">
        <v>26</v>
      </c>
      <c r="D513">
        <v>150</v>
      </c>
      <c r="E513">
        <v>2</v>
      </c>
      <c r="F513" t="s">
        <v>118</v>
      </c>
      <c r="G513" t="s">
        <v>526</v>
      </c>
    </row>
    <row r="514" spans="1:7" x14ac:dyDescent="0.45">
      <c r="A514" t="str">
        <f>VLOOKUP(C514,'Field Layout'!$B$9:$AJ$35,MATCH(Index!B514,'Field Layout'!$B$8:$AJ$8,0),FALSE)</f>
        <v>Border</v>
      </c>
      <c r="B514">
        <v>19</v>
      </c>
      <c r="C514">
        <v>27</v>
      </c>
      <c r="D514">
        <v>150</v>
      </c>
      <c r="E514" t="s">
        <v>54</v>
      </c>
      <c r="F514" t="s">
        <v>92</v>
      </c>
      <c r="G514" t="s">
        <v>99</v>
      </c>
    </row>
    <row r="515" spans="1:7" x14ac:dyDescent="0.45">
      <c r="A515" t="str">
        <f>VLOOKUP(C515,'Field Layout'!$B$9:$AJ$35,MATCH(Index!B515,'Field Layout'!$B$8:$AJ$8,0),FALSE)</f>
        <v>Border</v>
      </c>
      <c r="B515">
        <v>20</v>
      </c>
      <c r="C515">
        <v>1</v>
      </c>
      <c r="D515">
        <v>150</v>
      </c>
      <c r="E515" t="s">
        <v>54</v>
      </c>
      <c r="F515" t="s">
        <v>92</v>
      </c>
      <c r="G515" t="s">
        <v>99</v>
      </c>
    </row>
    <row r="516" spans="1:7" x14ac:dyDescent="0.45">
      <c r="A516">
        <f>VLOOKUP(C516,'Field Layout'!$B$9:$AJ$35,MATCH(Index!B516,'Field Layout'!$B$8:$AJ$8,0),FALSE)</f>
        <v>2003</v>
      </c>
      <c r="B516">
        <v>20</v>
      </c>
      <c r="C516">
        <v>2</v>
      </c>
      <c r="D516">
        <v>150</v>
      </c>
      <c r="E516">
        <v>2</v>
      </c>
      <c r="F516" t="s">
        <v>576</v>
      </c>
      <c r="G516" t="s">
        <v>577</v>
      </c>
    </row>
    <row r="517" spans="1:7" x14ac:dyDescent="0.45">
      <c r="A517">
        <f>VLOOKUP(C517,'Field Layout'!$B$9:$AJ$35,MATCH(Index!B517,'Field Layout'!$B$8:$AJ$8,0),FALSE)</f>
        <v>2019</v>
      </c>
      <c r="B517">
        <v>20</v>
      </c>
      <c r="C517">
        <v>3</v>
      </c>
      <c r="D517">
        <v>150</v>
      </c>
      <c r="E517">
        <v>2</v>
      </c>
      <c r="F517" t="s">
        <v>798</v>
      </c>
      <c r="G517" t="s">
        <v>799</v>
      </c>
    </row>
    <row r="518" spans="1:7" x14ac:dyDescent="0.45">
      <c r="A518">
        <f>VLOOKUP(C518,'Field Layout'!$B$9:$AJ$35,MATCH(Index!B518,'Field Layout'!$B$8:$AJ$8,0),FALSE)</f>
        <v>2035</v>
      </c>
      <c r="B518">
        <v>20</v>
      </c>
      <c r="C518">
        <v>4</v>
      </c>
      <c r="D518">
        <v>150</v>
      </c>
      <c r="E518">
        <v>2</v>
      </c>
      <c r="F518" t="s">
        <v>185</v>
      </c>
      <c r="G518" t="s">
        <v>186</v>
      </c>
    </row>
    <row r="519" spans="1:7" x14ac:dyDescent="0.45">
      <c r="A519">
        <f>VLOOKUP(C519,'Field Layout'!$B$9:$AJ$35,MATCH(Index!B519,'Field Layout'!$B$8:$AJ$8,0),FALSE)</f>
        <v>2051</v>
      </c>
      <c r="B519">
        <v>20</v>
      </c>
      <c r="C519">
        <v>5</v>
      </c>
      <c r="D519">
        <v>150</v>
      </c>
      <c r="E519">
        <v>2</v>
      </c>
      <c r="F519" t="s">
        <v>539</v>
      </c>
      <c r="G519" t="s">
        <v>119</v>
      </c>
    </row>
    <row r="520" spans="1:7" x14ac:dyDescent="0.45">
      <c r="A520">
        <f>VLOOKUP(C520,'Field Layout'!$B$9:$AJ$35,MATCH(Index!B520,'Field Layout'!$B$8:$AJ$8,0),FALSE)</f>
        <v>2067</v>
      </c>
      <c r="B520">
        <v>20</v>
      </c>
      <c r="C520">
        <v>6</v>
      </c>
      <c r="D520">
        <v>150</v>
      </c>
      <c r="E520">
        <v>2</v>
      </c>
      <c r="F520" t="s">
        <v>424</v>
      </c>
      <c r="G520" t="s">
        <v>425</v>
      </c>
    </row>
    <row r="521" spans="1:7" x14ac:dyDescent="0.45">
      <c r="A521">
        <f>VLOOKUP(C521,'Field Layout'!$B$9:$AJ$35,MATCH(Index!B521,'Field Layout'!$B$8:$AJ$8,0),FALSE)</f>
        <v>2083</v>
      </c>
      <c r="B521">
        <v>20</v>
      </c>
      <c r="C521">
        <v>7</v>
      </c>
      <c r="D521">
        <v>150</v>
      </c>
      <c r="E521">
        <v>2</v>
      </c>
      <c r="F521" t="s">
        <v>337</v>
      </c>
      <c r="G521" t="s">
        <v>338</v>
      </c>
    </row>
    <row r="522" spans="1:7" x14ac:dyDescent="0.45">
      <c r="A522">
        <f>VLOOKUP(C522,'Field Layout'!$B$9:$AJ$35,MATCH(Index!B522,'Field Layout'!$B$8:$AJ$8,0),FALSE)</f>
        <v>2099</v>
      </c>
      <c r="B522">
        <v>20</v>
      </c>
      <c r="C522">
        <v>8</v>
      </c>
      <c r="D522">
        <v>150</v>
      </c>
      <c r="E522">
        <v>2</v>
      </c>
      <c r="F522" t="s">
        <v>339</v>
      </c>
      <c r="G522" t="s">
        <v>340</v>
      </c>
    </row>
    <row r="523" spans="1:7" x14ac:dyDescent="0.45">
      <c r="A523">
        <f>VLOOKUP(C523,'Field Layout'!$B$9:$AJ$35,MATCH(Index!B523,'Field Layout'!$B$8:$AJ$8,0),FALSE)</f>
        <v>2115</v>
      </c>
      <c r="B523">
        <v>20</v>
      </c>
      <c r="C523">
        <v>9</v>
      </c>
      <c r="D523">
        <v>150</v>
      </c>
      <c r="E523">
        <v>2</v>
      </c>
      <c r="F523" t="s">
        <v>124</v>
      </c>
      <c r="G523" t="s">
        <v>125</v>
      </c>
    </row>
    <row r="524" spans="1:7" x14ac:dyDescent="0.45">
      <c r="A524">
        <f>VLOOKUP(C524,'Field Layout'!$B$9:$AJ$35,MATCH(Index!B524,'Field Layout'!$B$8:$AJ$8,0),FALSE)</f>
        <v>2131</v>
      </c>
      <c r="B524">
        <v>20</v>
      </c>
      <c r="C524">
        <v>10</v>
      </c>
      <c r="D524">
        <v>150</v>
      </c>
      <c r="E524">
        <v>2</v>
      </c>
      <c r="F524" t="s">
        <v>520</v>
      </c>
      <c r="G524" t="s">
        <v>521</v>
      </c>
    </row>
    <row r="525" spans="1:7" x14ac:dyDescent="0.45">
      <c r="A525">
        <f>VLOOKUP(C525,'Field Layout'!$B$9:$AJ$35,MATCH(Index!B525,'Field Layout'!$B$8:$AJ$8,0),FALSE)</f>
        <v>2147</v>
      </c>
      <c r="B525">
        <v>20</v>
      </c>
      <c r="C525">
        <v>11</v>
      </c>
      <c r="D525">
        <v>150</v>
      </c>
      <c r="E525">
        <v>2</v>
      </c>
      <c r="F525" t="s">
        <v>203</v>
      </c>
      <c r="G525" t="s">
        <v>204</v>
      </c>
    </row>
    <row r="526" spans="1:7" x14ac:dyDescent="0.45">
      <c r="A526">
        <f>VLOOKUP(C526,'Field Layout'!$B$9:$AJ$35,MATCH(Index!B526,'Field Layout'!$B$8:$AJ$8,0),FALSE)</f>
        <v>2163</v>
      </c>
      <c r="B526">
        <v>20</v>
      </c>
      <c r="C526">
        <v>12</v>
      </c>
      <c r="D526">
        <v>150</v>
      </c>
      <c r="E526">
        <v>2</v>
      </c>
      <c r="F526" t="s">
        <v>241</v>
      </c>
      <c r="G526" t="s">
        <v>242</v>
      </c>
    </row>
    <row r="527" spans="1:7" x14ac:dyDescent="0.45">
      <c r="A527">
        <f>VLOOKUP(C527,'Field Layout'!$B$9:$AJ$35,MATCH(Index!B527,'Field Layout'!$B$8:$AJ$8,0),FALSE)</f>
        <v>2179</v>
      </c>
      <c r="B527">
        <v>20</v>
      </c>
      <c r="C527">
        <v>13</v>
      </c>
      <c r="D527">
        <v>150</v>
      </c>
      <c r="E527">
        <v>2</v>
      </c>
      <c r="F527" t="s">
        <v>764</v>
      </c>
      <c r="G527" t="s">
        <v>765</v>
      </c>
    </row>
    <row r="528" spans="1:7" x14ac:dyDescent="0.45">
      <c r="A528">
        <f>VLOOKUP(C528,'Field Layout'!$B$9:$AJ$35,MATCH(Index!B528,'Field Layout'!$B$8:$AJ$8,0),FALSE)</f>
        <v>2195</v>
      </c>
      <c r="B528">
        <v>20</v>
      </c>
      <c r="C528">
        <v>14</v>
      </c>
      <c r="D528">
        <v>150</v>
      </c>
      <c r="E528">
        <v>2</v>
      </c>
      <c r="F528" t="s">
        <v>376</v>
      </c>
      <c r="G528" t="s">
        <v>377</v>
      </c>
    </row>
    <row r="529" spans="1:7" x14ac:dyDescent="0.45">
      <c r="A529">
        <f>VLOOKUP(C529,'Field Layout'!$B$9:$AJ$35,MATCH(Index!B529,'Field Layout'!$B$8:$AJ$8,0),FALSE)</f>
        <v>2211</v>
      </c>
      <c r="B529">
        <v>20</v>
      </c>
      <c r="C529">
        <v>15</v>
      </c>
      <c r="D529">
        <v>150</v>
      </c>
      <c r="E529">
        <v>2</v>
      </c>
      <c r="F529" t="s">
        <v>760</v>
      </c>
      <c r="G529" t="s">
        <v>761</v>
      </c>
    </row>
    <row r="530" spans="1:7" x14ac:dyDescent="0.45">
      <c r="A530">
        <f>VLOOKUP(C530,'Field Layout'!$B$9:$AJ$35,MATCH(Index!B530,'Field Layout'!$B$8:$AJ$8,0),FALSE)</f>
        <v>2227</v>
      </c>
      <c r="B530">
        <v>20</v>
      </c>
      <c r="C530">
        <v>16</v>
      </c>
      <c r="D530">
        <v>150</v>
      </c>
      <c r="E530">
        <v>2</v>
      </c>
      <c r="F530" t="s">
        <v>542</v>
      </c>
      <c r="G530" t="s">
        <v>543</v>
      </c>
    </row>
    <row r="531" spans="1:7" x14ac:dyDescent="0.45">
      <c r="A531">
        <f>VLOOKUP(C531,'Field Layout'!$B$9:$AJ$35,MATCH(Index!B531,'Field Layout'!$B$8:$AJ$8,0),FALSE)</f>
        <v>2243</v>
      </c>
      <c r="B531">
        <v>20</v>
      </c>
      <c r="C531">
        <v>17</v>
      </c>
      <c r="D531">
        <v>150</v>
      </c>
      <c r="E531">
        <v>2</v>
      </c>
      <c r="F531" t="s">
        <v>630</v>
      </c>
      <c r="G531" t="s">
        <v>631</v>
      </c>
    </row>
    <row r="532" spans="1:7" x14ac:dyDescent="0.45">
      <c r="A532">
        <f>VLOOKUP(C532,'Field Layout'!$B$9:$AJ$35,MATCH(Index!B532,'Field Layout'!$B$8:$AJ$8,0),FALSE)</f>
        <v>2259</v>
      </c>
      <c r="B532">
        <v>20</v>
      </c>
      <c r="C532">
        <v>18</v>
      </c>
      <c r="D532">
        <v>150</v>
      </c>
      <c r="E532">
        <v>2</v>
      </c>
      <c r="F532" t="s">
        <v>502</v>
      </c>
      <c r="G532" t="s">
        <v>503</v>
      </c>
    </row>
    <row r="533" spans="1:7" x14ac:dyDescent="0.45">
      <c r="A533">
        <f>VLOOKUP(C533,'Field Layout'!$B$9:$AJ$35,MATCH(Index!B533,'Field Layout'!$B$8:$AJ$8,0),FALSE)</f>
        <v>2275</v>
      </c>
      <c r="B533">
        <v>20</v>
      </c>
      <c r="C533">
        <v>19</v>
      </c>
      <c r="D533">
        <v>150</v>
      </c>
      <c r="E533">
        <v>2</v>
      </c>
      <c r="F533" t="s">
        <v>782</v>
      </c>
      <c r="G533" t="s">
        <v>783</v>
      </c>
    </row>
    <row r="534" spans="1:7" x14ac:dyDescent="0.45">
      <c r="A534">
        <f>VLOOKUP(C534,'Field Layout'!$B$9:$AJ$35,MATCH(Index!B534,'Field Layout'!$B$8:$AJ$8,0),FALSE)</f>
        <v>2291</v>
      </c>
      <c r="B534">
        <v>20</v>
      </c>
      <c r="C534">
        <v>20</v>
      </c>
      <c r="D534">
        <v>150</v>
      </c>
      <c r="E534">
        <v>2</v>
      </c>
      <c r="F534" t="s">
        <v>654</v>
      </c>
      <c r="G534" t="s">
        <v>655</v>
      </c>
    </row>
    <row r="535" spans="1:7" x14ac:dyDescent="0.45">
      <c r="A535">
        <f>VLOOKUP(C535,'Field Layout'!$B$9:$AJ$35,MATCH(Index!B535,'Field Layout'!$B$8:$AJ$8,0),FALSE)</f>
        <v>2307</v>
      </c>
      <c r="B535">
        <v>20</v>
      </c>
      <c r="C535">
        <v>21</v>
      </c>
      <c r="D535">
        <v>150</v>
      </c>
      <c r="E535">
        <v>2</v>
      </c>
      <c r="F535" t="s">
        <v>118</v>
      </c>
      <c r="G535" t="s">
        <v>119</v>
      </c>
    </row>
    <row r="536" spans="1:7" x14ac:dyDescent="0.45">
      <c r="A536">
        <f>VLOOKUP(C536,'Field Layout'!$B$9:$AJ$35,MATCH(Index!B536,'Field Layout'!$B$8:$AJ$8,0),FALSE)</f>
        <v>2323</v>
      </c>
      <c r="B536">
        <v>20</v>
      </c>
      <c r="C536">
        <v>22</v>
      </c>
      <c r="D536">
        <v>150</v>
      </c>
      <c r="E536">
        <v>2</v>
      </c>
      <c r="F536" t="s">
        <v>794</v>
      </c>
      <c r="G536" t="s">
        <v>795</v>
      </c>
    </row>
    <row r="537" spans="1:7" x14ac:dyDescent="0.45">
      <c r="A537">
        <f>VLOOKUP(C537,'Field Layout'!$B$9:$AJ$35,MATCH(Index!B537,'Field Layout'!$B$8:$AJ$8,0),FALSE)</f>
        <v>2339</v>
      </c>
      <c r="B537">
        <v>20</v>
      </c>
      <c r="C537">
        <v>23</v>
      </c>
      <c r="D537">
        <v>150</v>
      </c>
      <c r="E537">
        <v>2</v>
      </c>
      <c r="F537" t="s">
        <v>440</v>
      </c>
      <c r="G537" t="s">
        <v>441</v>
      </c>
    </row>
    <row r="538" spans="1:7" x14ac:dyDescent="0.45">
      <c r="A538">
        <f>VLOOKUP(C538,'Field Layout'!$B$9:$AJ$35,MATCH(Index!B538,'Field Layout'!$B$8:$AJ$8,0),FALSE)</f>
        <v>2355</v>
      </c>
      <c r="B538">
        <v>20</v>
      </c>
      <c r="C538">
        <v>24</v>
      </c>
      <c r="D538">
        <v>150</v>
      </c>
      <c r="E538">
        <v>2</v>
      </c>
      <c r="F538" t="s">
        <v>656</v>
      </c>
      <c r="G538" t="s">
        <v>657</v>
      </c>
    </row>
    <row r="539" spans="1:7" x14ac:dyDescent="0.45">
      <c r="A539">
        <f>VLOOKUP(C539,'Field Layout'!$B$9:$AJ$35,MATCH(Index!B539,'Field Layout'!$B$8:$AJ$8,0),FALSE)</f>
        <v>2371</v>
      </c>
      <c r="B539">
        <v>20</v>
      </c>
      <c r="C539">
        <v>25</v>
      </c>
      <c r="D539">
        <v>150</v>
      </c>
      <c r="E539">
        <v>2</v>
      </c>
      <c r="F539" t="s">
        <v>351</v>
      </c>
      <c r="G539" t="s">
        <v>352</v>
      </c>
    </row>
    <row r="540" spans="1:7" x14ac:dyDescent="0.45">
      <c r="A540">
        <f>VLOOKUP(C540,'Field Layout'!$B$9:$AJ$35,MATCH(Index!B540,'Field Layout'!$B$8:$AJ$8,0),FALSE)</f>
        <v>2387</v>
      </c>
      <c r="B540">
        <v>20</v>
      </c>
      <c r="C540">
        <v>26</v>
      </c>
      <c r="D540">
        <v>150</v>
      </c>
      <c r="E540">
        <v>2</v>
      </c>
      <c r="F540" t="s">
        <v>396</v>
      </c>
      <c r="G540" t="s">
        <v>397</v>
      </c>
    </row>
    <row r="541" spans="1:7" x14ac:dyDescent="0.45">
      <c r="A541" t="str">
        <f>VLOOKUP(C541,'Field Layout'!$B$9:$AJ$35,MATCH(Index!B541,'Field Layout'!$B$8:$AJ$8,0),FALSE)</f>
        <v>Border</v>
      </c>
      <c r="B541">
        <v>20</v>
      </c>
      <c r="C541">
        <v>27</v>
      </c>
      <c r="D541">
        <v>150</v>
      </c>
      <c r="E541" t="s">
        <v>54</v>
      </c>
      <c r="F541" t="s">
        <v>92</v>
      </c>
      <c r="G541" t="s">
        <v>99</v>
      </c>
    </row>
    <row r="542" spans="1:7" x14ac:dyDescent="0.45">
      <c r="A542" t="str">
        <f>VLOOKUP(C542,'Field Layout'!$B$9:$AJ$35,MATCH(Index!B542,'Field Layout'!$B$8:$AJ$8,0),FALSE)</f>
        <v>Border</v>
      </c>
      <c r="B542">
        <v>21</v>
      </c>
      <c r="C542">
        <v>1</v>
      </c>
      <c r="D542">
        <v>150</v>
      </c>
      <c r="E542" t="s">
        <v>54</v>
      </c>
      <c r="F542" t="s">
        <v>92</v>
      </c>
      <c r="G542" t="s">
        <v>99</v>
      </c>
    </row>
    <row r="543" spans="1:7" x14ac:dyDescent="0.45">
      <c r="A543">
        <f>VLOOKUP(C543,'Field Layout'!$B$9:$AJ$35,MATCH(Index!B543,'Field Layout'!$B$8:$AJ$8,0),FALSE)</f>
        <v>2004</v>
      </c>
      <c r="B543">
        <v>21</v>
      </c>
      <c r="C543">
        <v>2</v>
      </c>
      <c r="D543">
        <v>150</v>
      </c>
      <c r="E543">
        <v>2</v>
      </c>
      <c r="F543" t="s">
        <v>187</v>
      </c>
      <c r="G543" t="s">
        <v>188</v>
      </c>
    </row>
    <row r="544" spans="1:7" x14ac:dyDescent="0.45">
      <c r="A544">
        <f>VLOOKUP(C544,'Field Layout'!$B$9:$AJ$35,MATCH(Index!B544,'Field Layout'!$B$8:$AJ$8,0),FALSE)</f>
        <v>2020</v>
      </c>
      <c r="B544">
        <v>21</v>
      </c>
      <c r="C544">
        <v>3</v>
      </c>
      <c r="D544">
        <v>150</v>
      </c>
      <c r="E544">
        <v>2</v>
      </c>
      <c r="F544" t="s">
        <v>118</v>
      </c>
      <c r="G544" t="s">
        <v>119</v>
      </c>
    </row>
    <row r="545" spans="1:7" x14ac:dyDescent="0.45">
      <c r="A545">
        <f>VLOOKUP(C545,'Field Layout'!$B$9:$AJ$35,MATCH(Index!B545,'Field Layout'!$B$8:$AJ$8,0),FALSE)</f>
        <v>2036</v>
      </c>
      <c r="B545">
        <v>21</v>
      </c>
      <c r="C545">
        <v>4</v>
      </c>
      <c r="D545">
        <v>150</v>
      </c>
      <c r="E545">
        <v>2</v>
      </c>
      <c r="F545" t="s">
        <v>183</v>
      </c>
      <c r="G545" t="s">
        <v>184</v>
      </c>
    </row>
    <row r="546" spans="1:7" x14ac:dyDescent="0.45">
      <c r="A546">
        <f>VLOOKUP(C546,'Field Layout'!$B$9:$AJ$35,MATCH(Index!B546,'Field Layout'!$B$8:$AJ$8,0),FALSE)</f>
        <v>2052</v>
      </c>
      <c r="B546">
        <v>21</v>
      </c>
      <c r="C546">
        <v>5</v>
      </c>
      <c r="D546">
        <v>150</v>
      </c>
      <c r="E546">
        <v>2</v>
      </c>
      <c r="F546" t="s">
        <v>364</v>
      </c>
      <c r="G546" t="s">
        <v>365</v>
      </c>
    </row>
    <row r="547" spans="1:7" x14ac:dyDescent="0.45">
      <c r="A547">
        <f>VLOOKUP(C547,'Field Layout'!$B$9:$AJ$35,MATCH(Index!B547,'Field Layout'!$B$8:$AJ$8,0),FALSE)</f>
        <v>2068</v>
      </c>
      <c r="B547">
        <v>21</v>
      </c>
      <c r="C547">
        <v>6</v>
      </c>
      <c r="D547">
        <v>150</v>
      </c>
      <c r="E547">
        <v>2</v>
      </c>
      <c r="F547" t="s">
        <v>730</v>
      </c>
      <c r="G547" t="s">
        <v>731</v>
      </c>
    </row>
    <row r="548" spans="1:7" x14ac:dyDescent="0.45">
      <c r="A548">
        <f>VLOOKUP(C548,'Field Layout'!$B$9:$AJ$35,MATCH(Index!B548,'Field Layout'!$B$8:$AJ$8,0),FALSE)</f>
        <v>2084</v>
      </c>
      <c r="B548">
        <v>21</v>
      </c>
      <c r="C548">
        <v>7</v>
      </c>
      <c r="D548">
        <v>150</v>
      </c>
      <c r="E548">
        <v>2</v>
      </c>
      <c r="F548" t="s">
        <v>297</v>
      </c>
      <c r="G548" t="s">
        <v>298</v>
      </c>
    </row>
    <row r="549" spans="1:7" x14ac:dyDescent="0.45">
      <c r="A549">
        <f>VLOOKUP(C549,'Field Layout'!$B$9:$AJ$35,MATCH(Index!B549,'Field Layout'!$B$8:$AJ$8,0),FALSE)</f>
        <v>2100</v>
      </c>
      <c r="B549">
        <v>21</v>
      </c>
      <c r="C549">
        <v>8</v>
      </c>
      <c r="D549">
        <v>150</v>
      </c>
      <c r="E549">
        <v>2</v>
      </c>
      <c r="F549" t="s">
        <v>470</v>
      </c>
      <c r="G549" t="s">
        <v>471</v>
      </c>
    </row>
    <row r="550" spans="1:7" x14ac:dyDescent="0.45">
      <c r="A550">
        <f>VLOOKUP(C550,'Field Layout'!$B$9:$AJ$35,MATCH(Index!B550,'Field Layout'!$B$8:$AJ$8,0),FALSE)</f>
        <v>2116</v>
      </c>
      <c r="B550">
        <v>21</v>
      </c>
      <c r="C550">
        <v>9</v>
      </c>
      <c r="D550">
        <v>150</v>
      </c>
      <c r="E550">
        <v>2</v>
      </c>
      <c r="F550" t="s">
        <v>165</v>
      </c>
      <c r="G550" t="s">
        <v>166</v>
      </c>
    </row>
    <row r="551" spans="1:7" x14ac:dyDescent="0.45">
      <c r="A551">
        <f>VLOOKUP(C551,'Field Layout'!$B$9:$AJ$35,MATCH(Index!B551,'Field Layout'!$B$8:$AJ$8,0),FALSE)</f>
        <v>2132</v>
      </c>
      <c r="B551">
        <v>21</v>
      </c>
      <c r="C551">
        <v>10</v>
      </c>
      <c r="D551">
        <v>150</v>
      </c>
      <c r="E551">
        <v>2</v>
      </c>
      <c r="F551" t="s">
        <v>384</v>
      </c>
      <c r="G551" t="s">
        <v>385</v>
      </c>
    </row>
    <row r="552" spans="1:7" x14ac:dyDescent="0.45">
      <c r="A552">
        <f>VLOOKUP(C552,'Field Layout'!$B$9:$AJ$35,MATCH(Index!B552,'Field Layout'!$B$8:$AJ$8,0),FALSE)</f>
        <v>2148</v>
      </c>
      <c r="B552">
        <v>21</v>
      </c>
      <c r="C552">
        <v>11</v>
      </c>
      <c r="D552">
        <v>150</v>
      </c>
      <c r="E552">
        <v>2</v>
      </c>
      <c r="F552" t="s">
        <v>112</v>
      </c>
      <c r="G552" t="s">
        <v>113</v>
      </c>
    </row>
    <row r="553" spans="1:7" x14ac:dyDescent="0.45">
      <c r="A553">
        <f>VLOOKUP(C553,'Field Layout'!$B$9:$AJ$35,MATCH(Index!B553,'Field Layout'!$B$8:$AJ$8,0),FALSE)</f>
        <v>2164</v>
      </c>
      <c r="B553">
        <v>21</v>
      </c>
      <c r="C553">
        <v>12</v>
      </c>
      <c r="D553">
        <v>150</v>
      </c>
      <c r="E553">
        <v>2</v>
      </c>
      <c r="F553" t="s">
        <v>418</v>
      </c>
      <c r="G553" t="s">
        <v>419</v>
      </c>
    </row>
    <row r="554" spans="1:7" x14ac:dyDescent="0.45">
      <c r="A554">
        <f>VLOOKUP(C554,'Field Layout'!$B$9:$AJ$35,MATCH(Index!B554,'Field Layout'!$B$8:$AJ$8,0),FALSE)</f>
        <v>2180</v>
      </c>
      <c r="B554">
        <v>21</v>
      </c>
      <c r="C554">
        <v>13</v>
      </c>
      <c r="D554">
        <v>150</v>
      </c>
      <c r="E554">
        <v>2</v>
      </c>
      <c r="F554" t="s">
        <v>504</v>
      </c>
      <c r="G554" t="s">
        <v>505</v>
      </c>
    </row>
    <row r="555" spans="1:7" x14ac:dyDescent="0.45">
      <c r="A555">
        <f>VLOOKUP(C555,'Field Layout'!$B$9:$AJ$35,MATCH(Index!B555,'Field Layout'!$B$8:$AJ$8,0),FALSE)</f>
        <v>2196</v>
      </c>
      <c r="B555">
        <v>21</v>
      </c>
      <c r="C555">
        <v>14</v>
      </c>
      <c r="D555">
        <v>150</v>
      </c>
      <c r="E555">
        <v>2</v>
      </c>
      <c r="F555" t="s">
        <v>199</v>
      </c>
      <c r="G555" t="s">
        <v>200</v>
      </c>
    </row>
    <row r="556" spans="1:7" x14ac:dyDescent="0.45">
      <c r="A556">
        <f>VLOOKUP(C556,'Field Layout'!$B$9:$AJ$35,MATCH(Index!B556,'Field Layout'!$B$8:$AJ$8,0),FALSE)</f>
        <v>2212</v>
      </c>
      <c r="B556">
        <v>21</v>
      </c>
      <c r="C556">
        <v>15</v>
      </c>
      <c r="D556">
        <v>150</v>
      </c>
      <c r="E556">
        <v>2</v>
      </c>
      <c r="F556" t="s">
        <v>197</v>
      </c>
      <c r="G556" t="s">
        <v>198</v>
      </c>
    </row>
    <row r="557" spans="1:7" x14ac:dyDescent="0.45">
      <c r="A557">
        <f>VLOOKUP(C557,'Field Layout'!$B$9:$AJ$35,MATCH(Index!B557,'Field Layout'!$B$8:$AJ$8,0),FALSE)</f>
        <v>2228</v>
      </c>
      <c r="B557">
        <v>21</v>
      </c>
      <c r="C557">
        <v>16</v>
      </c>
      <c r="D557">
        <v>150</v>
      </c>
      <c r="E557">
        <v>2</v>
      </c>
      <c r="F557" t="s">
        <v>118</v>
      </c>
      <c r="G557" t="s">
        <v>119</v>
      </c>
    </row>
    <row r="558" spans="1:7" x14ac:dyDescent="0.45">
      <c r="A558">
        <f>VLOOKUP(C558,'Field Layout'!$B$9:$AJ$35,MATCH(Index!B558,'Field Layout'!$B$8:$AJ$8,0),FALSE)</f>
        <v>2244</v>
      </c>
      <c r="B558">
        <v>21</v>
      </c>
      <c r="C558">
        <v>17</v>
      </c>
      <c r="D558">
        <v>150</v>
      </c>
      <c r="E558">
        <v>2</v>
      </c>
      <c r="F558" t="s">
        <v>636</v>
      </c>
      <c r="G558" t="s">
        <v>637</v>
      </c>
    </row>
    <row r="559" spans="1:7" x14ac:dyDescent="0.45">
      <c r="A559">
        <f>VLOOKUP(C559,'Field Layout'!$B$9:$AJ$35,MATCH(Index!B559,'Field Layout'!$B$8:$AJ$8,0),FALSE)</f>
        <v>2260</v>
      </c>
      <c r="B559">
        <v>21</v>
      </c>
      <c r="C559">
        <v>18</v>
      </c>
      <c r="D559">
        <v>150</v>
      </c>
      <c r="E559">
        <v>2</v>
      </c>
      <c r="F559" t="s">
        <v>634</v>
      </c>
      <c r="G559" t="s">
        <v>635</v>
      </c>
    </row>
    <row r="560" spans="1:7" x14ac:dyDescent="0.45">
      <c r="A560">
        <f>VLOOKUP(C560,'Field Layout'!$B$9:$AJ$35,MATCH(Index!B560,'Field Layout'!$B$8:$AJ$8,0),FALSE)</f>
        <v>2276</v>
      </c>
      <c r="B560">
        <v>21</v>
      </c>
      <c r="C560">
        <v>19</v>
      </c>
      <c r="D560">
        <v>150</v>
      </c>
      <c r="E560">
        <v>2</v>
      </c>
      <c r="F560" t="s">
        <v>303</v>
      </c>
      <c r="G560" t="s">
        <v>304</v>
      </c>
    </row>
    <row r="561" spans="1:7" x14ac:dyDescent="0.45">
      <c r="A561">
        <f>VLOOKUP(C561,'Field Layout'!$B$9:$AJ$35,MATCH(Index!B561,'Field Layout'!$B$8:$AJ$8,0),FALSE)</f>
        <v>2292</v>
      </c>
      <c r="B561">
        <v>21</v>
      </c>
      <c r="C561">
        <v>20</v>
      </c>
      <c r="D561">
        <v>150</v>
      </c>
      <c r="E561">
        <v>2</v>
      </c>
      <c r="F561" t="s">
        <v>574</v>
      </c>
      <c r="G561" t="s">
        <v>575</v>
      </c>
    </row>
    <row r="562" spans="1:7" x14ac:dyDescent="0.45">
      <c r="A562">
        <f>VLOOKUP(C562,'Field Layout'!$B$9:$AJ$35,MATCH(Index!B562,'Field Layout'!$B$8:$AJ$8,0),FALSE)</f>
        <v>2308</v>
      </c>
      <c r="B562">
        <v>21</v>
      </c>
      <c r="C562">
        <v>21</v>
      </c>
      <c r="D562">
        <v>150</v>
      </c>
      <c r="E562">
        <v>2</v>
      </c>
      <c r="F562" t="s">
        <v>570</v>
      </c>
      <c r="G562" t="s">
        <v>571</v>
      </c>
    </row>
    <row r="563" spans="1:7" x14ac:dyDescent="0.45">
      <c r="A563">
        <f>VLOOKUP(C563,'Field Layout'!$B$9:$AJ$35,MATCH(Index!B563,'Field Layout'!$B$8:$AJ$8,0),FALSE)</f>
        <v>2324</v>
      </c>
      <c r="B563">
        <v>21</v>
      </c>
      <c r="C563">
        <v>22</v>
      </c>
      <c r="D563">
        <v>150</v>
      </c>
      <c r="E563">
        <v>2</v>
      </c>
      <c r="F563" t="s">
        <v>562</v>
      </c>
      <c r="G563" t="s">
        <v>563</v>
      </c>
    </row>
    <row r="564" spans="1:7" x14ac:dyDescent="0.45">
      <c r="A564">
        <f>VLOOKUP(C564,'Field Layout'!$B$9:$AJ$35,MATCH(Index!B564,'Field Layout'!$B$8:$AJ$8,0),FALSE)</f>
        <v>2340</v>
      </c>
      <c r="B564">
        <v>21</v>
      </c>
      <c r="C564">
        <v>23</v>
      </c>
      <c r="D564">
        <v>150</v>
      </c>
      <c r="E564">
        <v>2</v>
      </c>
      <c r="F564" t="s">
        <v>614</v>
      </c>
      <c r="G564" t="s">
        <v>615</v>
      </c>
    </row>
    <row r="565" spans="1:7" x14ac:dyDescent="0.45">
      <c r="A565">
        <f>VLOOKUP(C565,'Field Layout'!$B$9:$AJ$35,MATCH(Index!B565,'Field Layout'!$B$8:$AJ$8,0),FALSE)</f>
        <v>2356</v>
      </c>
      <c r="B565">
        <v>21</v>
      </c>
      <c r="C565">
        <v>24</v>
      </c>
      <c r="D565">
        <v>150</v>
      </c>
      <c r="E565">
        <v>2</v>
      </c>
      <c r="F565" t="s">
        <v>118</v>
      </c>
      <c r="G565" t="s">
        <v>119</v>
      </c>
    </row>
    <row r="566" spans="1:7" x14ac:dyDescent="0.45">
      <c r="A566">
        <f>VLOOKUP(C566,'Field Layout'!$B$9:$AJ$35,MATCH(Index!B566,'Field Layout'!$B$8:$AJ$8,0),FALSE)</f>
        <v>2372</v>
      </c>
      <c r="B566">
        <v>21</v>
      </c>
      <c r="C566">
        <v>25</v>
      </c>
      <c r="D566">
        <v>150</v>
      </c>
      <c r="E566">
        <v>2</v>
      </c>
      <c r="F566" t="s">
        <v>349</v>
      </c>
      <c r="G566" t="s">
        <v>350</v>
      </c>
    </row>
    <row r="567" spans="1:7" x14ac:dyDescent="0.45">
      <c r="A567">
        <f>VLOOKUP(C567,'Field Layout'!$B$9:$AJ$35,MATCH(Index!B567,'Field Layout'!$B$8:$AJ$8,0),FALSE)</f>
        <v>2388</v>
      </c>
      <c r="B567">
        <v>21</v>
      </c>
      <c r="C567">
        <v>26</v>
      </c>
      <c r="D567">
        <v>150</v>
      </c>
      <c r="E567">
        <v>2</v>
      </c>
      <c r="F567" t="s">
        <v>138</v>
      </c>
      <c r="G567" t="s">
        <v>139</v>
      </c>
    </row>
    <row r="568" spans="1:7" x14ac:dyDescent="0.45">
      <c r="A568" t="str">
        <f>VLOOKUP(C568,'Field Layout'!$B$9:$AJ$35,MATCH(Index!B568,'Field Layout'!$B$8:$AJ$8,0),FALSE)</f>
        <v>Border</v>
      </c>
      <c r="B568">
        <v>21</v>
      </c>
      <c r="C568">
        <v>27</v>
      </c>
      <c r="D568">
        <v>150</v>
      </c>
      <c r="E568" t="s">
        <v>54</v>
      </c>
      <c r="F568" t="s">
        <v>92</v>
      </c>
      <c r="G568" t="s">
        <v>99</v>
      </c>
    </row>
    <row r="569" spans="1:7" x14ac:dyDescent="0.45">
      <c r="A569" t="str">
        <f>VLOOKUP(C569,'Field Layout'!$B$9:$AJ$35,MATCH(Index!B569,'Field Layout'!$B$8:$AJ$8,0),FALSE)</f>
        <v>Border</v>
      </c>
      <c r="B569">
        <v>22</v>
      </c>
      <c r="C569">
        <v>1</v>
      </c>
      <c r="D569">
        <v>150</v>
      </c>
      <c r="E569" t="s">
        <v>54</v>
      </c>
      <c r="F569" t="s">
        <v>92</v>
      </c>
      <c r="G569" t="s">
        <v>99</v>
      </c>
    </row>
    <row r="570" spans="1:7" x14ac:dyDescent="0.45">
      <c r="A570">
        <f>VLOOKUP(C570,'Field Layout'!$B$9:$AJ$35,MATCH(Index!B570,'Field Layout'!$B$8:$AJ$8,0),FALSE)</f>
        <v>2005</v>
      </c>
      <c r="B570">
        <v>22</v>
      </c>
      <c r="C570">
        <v>2</v>
      </c>
      <c r="D570">
        <v>150</v>
      </c>
      <c r="E570">
        <v>2</v>
      </c>
      <c r="F570" t="s">
        <v>578</v>
      </c>
      <c r="G570" t="s">
        <v>579</v>
      </c>
    </row>
    <row r="571" spans="1:7" x14ac:dyDescent="0.45">
      <c r="A571">
        <f>VLOOKUP(C571,'Field Layout'!$B$9:$AJ$35,MATCH(Index!B571,'Field Layout'!$B$8:$AJ$8,0),FALSE)</f>
        <v>2021</v>
      </c>
      <c r="B571">
        <v>22</v>
      </c>
      <c r="C571">
        <v>3</v>
      </c>
      <c r="D571">
        <v>150</v>
      </c>
      <c r="E571">
        <v>2</v>
      </c>
      <c r="F571" t="s">
        <v>492</v>
      </c>
      <c r="G571" t="s">
        <v>119</v>
      </c>
    </row>
    <row r="572" spans="1:7" x14ac:dyDescent="0.45">
      <c r="A572">
        <f>VLOOKUP(C572,'Field Layout'!$B$9:$AJ$35,MATCH(Index!B572,'Field Layout'!$B$8:$AJ$8,0),FALSE)</f>
        <v>2037</v>
      </c>
      <c r="B572">
        <v>22</v>
      </c>
      <c r="C572">
        <v>4</v>
      </c>
      <c r="D572">
        <v>150</v>
      </c>
      <c r="E572">
        <v>2</v>
      </c>
      <c r="F572" t="s">
        <v>307</v>
      </c>
      <c r="G572" t="s">
        <v>119</v>
      </c>
    </row>
    <row r="573" spans="1:7" x14ac:dyDescent="0.45">
      <c r="A573">
        <f>VLOOKUP(C573,'Field Layout'!$B$9:$AJ$35,MATCH(Index!B573,'Field Layout'!$B$8:$AJ$8,0),FALSE)</f>
        <v>2053</v>
      </c>
      <c r="B573">
        <v>22</v>
      </c>
      <c r="C573">
        <v>5</v>
      </c>
      <c r="D573">
        <v>150</v>
      </c>
      <c r="E573">
        <v>2</v>
      </c>
      <c r="F573" t="s">
        <v>756</v>
      </c>
      <c r="G573" t="s">
        <v>119</v>
      </c>
    </row>
    <row r="574" spans="1:7" x14ac:dyDescent="0.45">
      <c r="A574">
        <f>VLOOKUP(C574,'Field Layout'!$B$9:$AJ$35,MATCH(Index!B574,'Field Layout'!$B$8:$AJ$8,0),FALSE)</f>
        <v>2069</v>
      </c>
      <c r="B574">
        <v>22</v>
      </c>
      <c r="C574">
        <v>6</v>
      </c>
      <c r="D574">
        <v>150</v>
      </c>
      <c r="E574">
        <v>2</v>
      </c>
      <c r="F574" t="s">
        <v>642</v>
      </c>
      <c r="G574" t="s">
        <v>643</v>
      </c>
    </row>
    <row r="575" spans="1:7" x14ac:dyDescent="0.45">
      <c r="A575">
        <f>VLOOKUP(C575,'Field Layout'!$B$9:$AJ$35,MATCH(Index!B575,'Field Layout'!$B$8:$AJ$8,0),FALSE)</f>
        <v>2085</v>
      </c>
      <c r="B575">
        <v>22</v>
      </c>
      <c r="C575">
        <v>7</v>
      </c>
      <c r="D575">
        <v>150</v>
      </c>
      <c r="E575">
        <v>2</v>
      </c>
      <c r="F575" t="s">
        <v>253</v>
      </c>
      <c r="G575" t="s">
        <v>254</v>
      </c>
    </row>
    <row r="576" spans="1:7" x14ac:dyDescent="0.45">
      <c r="A576">
        <f>VLOOKUP(C576,'Field Layout'!$B$9:$AJ$35,MATCH(Index!B576,'Field Layout'!$B$8:$AJ$8,0),FALSE)</f>
        <v>2101</v>
      </c>
      <c r="B576">
        <v>22</v>
      </c>
      <c r="C576">
        <v>8</v>
      </c>
      <c r="D576">
        <v>150</v>
      </c>
      <c r="E576">
        <v>2</v>
      </c>
      <c r="F576" t="s">
        <v>295</v>
      </c>
      <c r="G576" t="s">
        <v>296</v>
      </c>
    </row>
    <row r="577" spans="1:7" x14ac:dyDescent="0.45">
      <c r="A577">
        <f>VLOOKUP(C577,'Field Layout'!$B$9:$AJ$35,MATCH(Index!B577,'Field Layout'!$B$8:$AJ$8,0),FALSE)</f>
        <v>2117</v>
      </c>
      <c r="B577">
        <v>22</v>
      </c>
      <c r="C577">
        <v>9</v>
      </c>
      <c r="D577">
        <v>150</v>
      </c>
      <c r="E577">
        <v>2</v>
      </c>
      <c r="F577" t="s">
        <v>432</v>
      </c>
      <c r="G577" t="s">
        <v>433</v>
      </c>
    </row>
    <row r="578" spans="1:7" x14ac:dyDescent="0.45">
      <c r="A578">
        <f>VLOOKUP(C578,'Field Layout'!$B$9:$AJ$35,MATCH(Index!B578,'Field Layout'!$B$8:$AJ$8,0),FALSE)</f>
        <v>2133</v>
      </c>
      <c r="B578">
        <v>22</v>
      </c>
      <c r="C578">
        <v>10</v>
      </c>
      <c r="D578">
        <v>150</v>
      </c>
      <c r="E578">
        <v>2</v>
      </c>
      <c r="F578" t="s">
        <v>648</v>
      </c>
      <c r="G578" t="s">
        <v>649</v>
      </c>
    </row>
    <row r="579" spans="1:7" x14ac:dyDescent="0.45">
      <c r="A579">
        <f>VLOOKUP(C579,'Field Layout'!$B$9:$AJ$35,MATCH(Index!B579,'Field Layout'!$B$8:$AJ$8,0),FALSE)</f>
        <v>2149</v>
      </c>
      <c r="B579">
        <v>22</v>
      </c>
      <c r="C579">
        <v>11</v>
      </c>
      <c r="D579">
        <v>150</v>
      </c>
      <c r="E579">
        <v>2</v>
      </c>
      <c r="F579" t="s">
        <v>758</v>
      </c>
      <c r="G579" t="s">
        <v>759</v>
      </c>
    </row>
    <row r="580" spans="1:7" x14ac:dyDescent="0.45">
      <c r="A580">
        <f>VLOOKUP(C580,'Field Layout'!$B$9:$AJ$35,MATCH(Index!B580,'Field Layout'!$B$8:$AJ$8,0),FALSE)</f>
        <v>2165</v>
      </c>
      <c r="B580">
        <v>22</v>
      </c>
      <c r="C580">
        <v>12</v>
      </c>
      <c r="D580">
        <v>150</v>
      </c>
      <c r="E580">
        <v>2</v>
      </c>
      <c r="F580" t="s">
        <v>118</v>
      </c>
      <c r="G580" t="s">
        <v>119</v>
      </c>
    </row>
    <row r="581" spans="1:7" x14ac:dyDescent="0.45">
      <c r="A581">
        <f>VLOOKUP(C581,'Field Layout'!$B$9:$AJ$35,MATCH(Index!B581,'Field Layout'!$B$8:$AJ$8,0),FALSE)</f>
        <v>2181</v>
      </c>
      <c r="B581">
        <v>22</v>
      </c>
      <c r="C581">
        <v>13</v>
      </c>
      <c r="D581">
        <v>150</v>
      </c>
      <c r="E581">
        <v>2</v>
      </c>
      <c r="F581" t="s">
        <v>408</v>
      </c>
      <c r="G581" t="s">
        <v>409</v>
      </c>
    </row>
    <row r="582" spans="1:7" x14ac:dyDescent="0.45">
      <c r="A582">
        <f>VLOOKUP(C582,'Field Layout'!$B$9:$AJ$35,MATCH(Index!B582,'Field Layout'!$B$8:$AJ$8,0),FALSE)</f>
        <v>2197</v>
      </c>
      <c r="B582">
        <v>22</v>
      </c>
      <c r="C582">
        <v>14</v>
      </c>
      <c r="D582">
        <v>150</v>
      </c>
      <c r="E582">
        <v>2</v>
      </c>
      <c r="F582" t="s">
        <v>724</v>
      </c>
      <c r="G582" t="s">
        <v>725</v>
      </c>
    </row>
    <row r="583" spans="1:7" x14ac:dyDescent="0.45">
      <c r="A583">
        <f>VLOOKUP(C583,'Field Layout'!$B$9:$AJ$35,MATCH(Index!B583,'Field Layout'!$B$8:$AJ$8,0),FALSE)</f>
        <v>2213</v>
      </c>
      <c r="B583">
        <v>22</v>
      </c>
      <c r="C583">
        <v>15</v>
      </c>
      <c r="D583">
        <v>150</v>
      </c>
      <c r="E583">
        <v>2</v>
      </c>
      <c r="F583" t="s">
        <v>335</v>
      </c>
      <c r="G583" t="s">
        <v>336</v>
      </c>
    </row>
    <row r="584" spans="1:7" x14ac:dyDescent="0.45">
      <c r="A584">
        <f>VLOOKUP(C584,'Field Layout'!$B$9:$AJ$35,MATCH(Index!B584,'Field Layout'!$B$8:$AJ$8,0),FALSE)</f>
        <v>2229</v>
      </c>
      <c r="B584">
        <v>22</v>
      </c>
      <c r="C584">
        <v>16</v>
      </c>
      <c r="D584">
        <v>150</v>
      </c>
      <c r="E584">
        <v>2</v>
      </c>
      <c r="F584" t="s">
        <v>247</v>
      </c>
      <c r="G584" t="s">
        <v>248</v>
      </c>
    </row>
    <row r="585" spans="1:7" x14ac:dyDescent="0.45">
      <c r="A585">
        <f>VLOOKUP(C585,'Field Layout'!$B$9:$AJ$35,MATCH(Index!B585,'Field Layout'!$B$8:$AJ$8,0),FALSE)</f>
        <v>2245</v>
      </c>
      <c r="B585">
        <v>22</v>
      </c>
      <c r="C585">
        <v>17</v>
      </c>
      <c r="D585">
        <v>150</v>
      </c>
      <c r="E585">
        <v>2</v>
      </c>
      <c r="F585" t="s">
        <v>370</v>
      </c>
      <c r="G585" t="s">
        <v>371</v>
      </c>
    </row>
    <row r="586" spans="1:7" x14ac:dyDescent="0.45">
      <c r="A586">
        <f>VLOOKUP(C586,'Field Layout'!$B$9:$AJ$35,MATCH(Index!B586,'Field Layout'!$B$8:$AJ$8,0),FALSE)</f>
        <v>2261</v>
      </c>
      <c r="B586">
        <v>22</v>
      </c>
      <c r="C586">
        <v>18</v>
      </c>
      <c r="D586">
        <v>150</v>
      </c>
      <c r="E586">
        <v>2</v>
      </c>
      <c r="F586" t="s">
        <v>281</v>
      </c>
      <c r="G586" t="s">
        <v>282</v>
      </c>
    </row>
    <row r="587" spans="1:7" x14ac:dyDescent="0.45">
      <c r="A587">
        <f>VLOOKUP(C587,'Field Layout'!$B$9:$AJ$35,MATCH(Index!B587,'Field Layout'!$B$8:$AJ$8,0),FALSE)</f>
        <v>2277</v>
      </c>
      <c r="B587">
        <v>22</v>
      </c>
      <c r="C587">
        <v>19</v>
      </c>
      <c r="D587">
        <v>150</v>
      </c>
      <c r="E587">
        <v>2</v>
      </c>
      <c r="F587" t="s">
        <v>171</v>
      </c>
      <c r="G587" t="s">
        <v>172</v>
      </c>
    </row>
    <row r="588" spans="1:7" x14ac:dyDescent="0.45">
      <c r="A588">
        <f>VLOOKUP(C588,'Field Layout'!$B$9:$AJ$35,MATCH(Index!B588,'Field Layout'!$B$8:$AJ$8,0),FALSE)</f>
        <v>2293</v>
      </c>
      <c r="B588">
        <v>22</v>
      </c>
      <c r="C588">
        <v>20</v>
      </c>
      <c r="D588">
        <v>150</v>
      </c>
      <c r="E588">
        <v>2</v>
      </c>
      <c r="F588" t="s">
        <v>486</v>
      </c>
      <c r="G588" t="s">
        <v>487</v>
      </c>
    </row>
    <row r="589" spans="1:7" x14ac:dyDescent="0.45">
      <c r="A589">
        <f>VLOOKUP(C589,'Field Layout'!$B$9:$AJ$35,MATCH(Index!B589,'Field Layout'!$B$8:$AJ$8,0),FALSE)</f>
        <v>2309</v>
      </c>
      <c r="B589">
        <v>22</v>
      </c>
      <c r="C589">
        <v>21</v>
      </c>
      <c r="D589">
        <v>150</v>
      </c>
      <c r="E589">
        <v>2</v>
      </c>
      <c r="F589" t="s">
        <v>786</v>
      </c>
      <c r="G589" t="s">
        <v>787</v>
      </c>
    </row>
    <row r="590" spans="1:7" x14ac:dyDescent="0.45">
      <c r="A590">
        <f>VLOOKUP(C590,'Field Layout'!$B$9:$AJ$35,MATCH(Index!B590,'Field Layout'!$B$8:$AJ$8,0),FALSE)</f>
        <v>2325</v>
      </c>
      <c r="B590">
        <v>22</v>
      </c>
      <c r="C590">
        <v>22</v>
      </c>
      <c r="D590">
        <v>150</v>
      </c>
      <c r="E590">
        <v>2</v>
      </c>
      <c r="F590" t="s">
        <v>606</v>
      </c>
      <c r="G590" t="s">
        <v>607</v>
      </c>
    </row>
    <row r="591" spans="1:7" x14ac:dyDescent="0.45">
      <c r="A591">
        <f>VLOOKUP(C591,'Field Layout'!$B$9:$AJ$35,MATCH(Index!B591,'Field Layout'!$B$8:$AJ$8,0),FALSE)</f>
        <v>2341</v>
      </c>
      <c r="B591">
        <v>22</v>
      </c>
      <c r="C591">
        <v>23</v>
      </c>
      <c r="D591">
        <v>150</v>
      </c>
      <c r="E591">
        <v>2</v>
      </c>
      <c r="F591" t="s">
        <v>448</v>
      </c>
      <c r="G591" t="s">
        <v>449</v>
      </c>
    </row>
    <row r="592" spans="1:7" x14ac:dyDescent="0.45">
      <c r="A592">
        <f>VLOOKUP(C592,'Field Layout'!$B$9:$AJ$35,MATCH(Index!B592,'Field Layout'!$B$8:$AJ$8,0),FALSE)</f>
        <v>2357</v>
      </c>
      <c r="B592">
        <v>22</v>
      </c>
      <c r="C592">
        <v>24</v>
      </c>
      <c r="D592">
        <v>150</v>
      </c>
      <c r="E592">
        <v>2</v>
      </c>
      <c r="F592" t="s">
        <v>740</v>
      </c>
      <c r="G592" t="s">
        <v>741</v>
      </c>
    </row>
    <row r="593" spans="1:7" x14ac:dyDescent="0.45">
      <c r="A593">
        <f>VLOOKUP(C593,'Field Layout'!$B$9:$AJ$35,MATCH(Index!B593,'Field Layout'!$B$8:$AJ$8,0),FALSE)</f>
        <v>2373</v>
      </c>
      <c r="B593">
        <v>22</v>
      </c>
      <c r="C593">
        <v>25</v>
      </c>
      <c r="D593">
        <v>150</v>
      </c>
      <c r="E593">
        <v>2</v>
      </c>
      <c r="F593" t="s">
        <v>118</v>
      </c>
      <c r="G593" t="s">
        <v>119</v>
      </c>
    </row>
    <row r="594" spans="1:7" x14ac:dyDescent="0.45">
      <c r="A594">
        <f>VLOOKUP(C594,'Field Layout'!$B$9:$AJ$35,MATCH(Index!B594,'Field Layout'!$B$8:$AJ$8,0),FALSE)</f>
        <v>2389</v>
      </c>
      <c r="B594">
        <v>22</v>
      </c>
      <c r="C594">
        <v>26</v>
      </c>
      <c r="D594">
        <v>150</v>
      </c>
      <c r="E594">
        <v>2</v>
      </c>
      <c r="F594" t="s">
        <v>118</v>
      </c>
      <c r="G594" t="s">
        <v>119</v>
      </c>
    </row>
    <row r="595" spans="1:7" x14ac:dyDescent="0.45">
      <c r="A595" t="str">
        <f>VLOOKUP(C595,'Field Layout'!$B$9:$AJ$35,MATCH(Index!B595,'Field Layout'!$B$8:$AJ$8,0),FALSE)</f>
        <v>Border</v>
      </c>
      <c r="B595">
        <v>22</v>
      </c>
      <c r="C595">
        <v>27</v>
      </c>
      <c r="D595">
        <v>150</v>
      </c>
      <c r="E595" t="s">
        <v>54</v>
      </c>
      <c r="F595" t="s">
        <v>92</v>
      </c>
      <c r="G595" t="s">
        <v>99</v>
      </c>
    </row>
    <row r="596" spans="1:7" x14ac:dyDescent="0.45">
      <c r="A596" t="str">
        <f>VLOOKUP(C596,'Field Layout'!$B$9:$AJ$35,MATCH(Index!B596,'Field Layout'!$B$8:$AJ$8,0),FALSE)</f>
        <v>Border</v>
      </c>
      <c r="B596">
        <v>23</v>
      </c>
      <c r="C596">
        <v>1</v>
      </c>
      <c r="D596">
        <v>150</v>
      </c>
      <c r="E596" t="s">
        <v>54</v>
      </c>
      <c r="F596" t="s">
        <v>92</v>
      </c>
      <c r="G596" t="s">
        <v>99</v>
      </c>
    </row>
    <row r="597" spans="1:7" x14ac:dyDescent="0.45">
      <c r="A597">
        <f>VLOOKUP(C597,'Field Layout'!$B$9:$AJ$35,MATCH(Index!B597,'Field Layout'!$B$8:$AJ$8,0),FALSE)</f>
        <v>2006</v>
      </c>
      <c r="B597">
        <v>23</v>
      </c>
      <c r="C597">
        <v>2</v>
      </c>
      <c r="D597">
        <v>150</v>
      </c>
      <c r="E597">
        <v>2</v>
      </c>
      <c r="F597" t="s">
        <v>714</v>
      </c>
      <c r="G597" t="s">
        <v>715</v>
      </c>
    </row>
    <row r="598" spans="1:7" x14ac:dyDescent="0.45">
      <c r="A598">
        <f>VLOOKUP(C598,'Field Layout'!$B$9:$AJ$35,MATCH(Index!B598,'Field Layout'!$B$8:$AJ$8,0),FALSE)</f>
        <v>2022</v>
      </c>
      <c r="B598">
        <v>23</v>
      </c>
      <c r="C598">
        <v>3</v>
      </c>
      <c r="D598">
        <v>150</v>
      </c>
      <c r="E598">
        <v>2</v>
      </c>
      <c r="F598" t="s">
        <v>233</v>
      </c>
      <c r="G598" t="s">
        <v>234</v>
      </c>
    </row>
    <row r="599" spans="1:7" x14ac:dyDescent="0.45">
      <c r="A599">
        <f>VLOOKUP(C599,'Field Layout'!$B$9:$AJ$35,MATCH(Index!B599,'Field Layout'!$B$8:$AJ$8,0),FALSE)</f>
        <v>2038</v>
      </c>
      <c r="B599">
        <v>23</v>
      </c>
      <c r="C599">
        <v>4</v>
      </c>
      <c r="D599">
        <v>150</v>
      </c>
      <c r="E599">
        <v>2</v>
      </c>
      <c r="F599" t="s">
        <v>229</v>
      </c>
      <c r="G599" t="s">
        <v>230</v>
      </c>
    </row>
    <row r="600" spans="1:7" x14ac:dyDescent="0.45">
      <c r="A600">
        <f>VLOOKUP(C600,'Field Layout'!$B$9:$AJ$35,MATCH(Index!B600,'Field Layout'!$B$8:$AJ$8,0),FALSE)</f>
        <v>2054</v>
      </c>
      <c r="B600">
        <v>23</v>
      </c>
      <c r="C600">
        <v>5</v>
      </c>
      <c r="D600">
        <v>150</v>
      </c>
      <c r="E600">
        <v>2</v>
      </c>
      <c r="F600" t="s">
        <v>118</v>
      </c>
      <c r="G600" t="s">
        <v>119</v>
      </c>
    </row>
    <row r="601" spans="1:7" x14ac:dyDescent="0.45">
      <c r="A601">
        <f>VLOOKUP(C601,'Field Layout'!$B$9:$AJ$35,MATCH(Index!B601,'Field Layout'!$B$8:$AJ$8,0),FALSE)</f>
        <v>2070</v>
      </c>
      <c r="B601">
        <v>23</v>
      </c>
      <c r="C601">
        <v>6</v>
      </c>
      <c r="D601">
        <v>150</v>
      </c>
      <c r="E601">
        <v>2</v>
      </c>
      <c r="F601" t="s">
        <v>426</v>
      </c>
      <c r="G601" t="s">
        <v>427</v>
      </c>
    </row>
    <row r="602" spans="1:7" x14ac:dyDescent="0.45">
      <c r="A602">
        <f>VLOOKUP(C602,'Field Layout'!$B$9:$AJ$35,MATCH(Index!B602,'Field Layout'!$B$8:$AJ$8,0),FALSE)</f>
        <v>2086</v>
      </c>
      <c r="B602">
        <v>23</v>
      </c>
      <c r="C602">
        <v>7</v>
      </c>
      <c r="D602">
        <v>150</v>
      </c>
      <c r="E602">
        <v>2</v>
      </c>
      <c r="F602" t="s">
        <v>159</v>
      </c>
      <c r="G602" t="s">
        <v>160</v>
      </c>
    </row>
    <row r="603" spans="1:7" x14ac:dyDescent="0.45">
      <c r="A603">
        <f>VLOOKUP(C603,'Field Layout'!$B$9:$AJ$35,MATCH(Index!B603,'Field Layout'!$B$8:$AJ$8,0),FALSE)</f>
        <v>2102</v>
      </c>
      <c r="B603">
        <v>23</v>
      </c>
      <c r="C603">
        <v>8</v>
      </c>
      <c r="D603">
        <v>150</v>
      </c>
      <c r="E603">
        <v>2</v>
      </c>
      <c r="F603" t="s">
        <v>472</v>
      </c>
      <c r="G603" t="s">
        <v>473</v>
      </c>
    </row>
    <row r="604" spans="1:7" x14ac:dyDescent="0.45">
      <c r="A604">
        <f>VLOOKUP(C604,'Field Layout'!$B$9:$AJ$35,MATCH(Index!B604,'Field Layout'!$B$8:$AJ$8,0),FALSE)</f>
        <v>2118</v>
      </c>
      <c r="B604">
        <v>23</v>
      </c>
      <c r="C604">
        <v>9</v>
      </c>
      <c r="D604">
        <v>150</v>
      </c>
      <c r="E604">
        <v>2</v>
      </c>
      <c r="F604" t="s">
        <v>602</v>
      </c>
      <c r="G604" t="s">
        <v>603</v>
      </c>
    </row>
    <row r="605" spans="1:7" x14ac:dyDescent="0.45">
      <c r="A605">
        <f>VLOOKUP(C605,'Field Layout'!$B$9:$AJ$35,MATCH(Index!B605,'Field Layout'!$B$8:$AJ$8,0),FALSE)</f>
        <v>2134</v>
      </c>
      <c r="B605">
        <v>23</v>
      </c>
      <c r="C605">
        <v>10</v>
      </c>
      <c r="D605">
        <v>150</v>
      </c>
      <c r="E605">
        <v>2</v>
      </c>
      <c r="F605" t="s">
        <v>118</v>
      </c>
      <c r="G605" t="s">
        <v>119</v>
      </c>
    </row>
    <row r="606" spans="1:7" x14ac:dyDescent="0.45">
      <c r="A606">
        <f>VLOOKUP(C606,'Field Layout'!$B$9:$AJ$35,MATCH(Index!B606,'Field Layout'!$B$8:$AJ$8,0),FALSE)</f>
        <v>2150</v>
      </c>
      <c r="B606">
        <v>23</v>
      </c>
      <c r="C606">
        <v>11</v>
      </c>
      <c r="D606">
        <v>150</v>
      </c>
      <c r="E606">
        <v>2</v>
      </c>
      <c r="F606" t="s">
        <v>118</v>
      </c>
      <c r="G606" t="s">
        <v>119</v>
      </c>
    </row>
    <row r="607" spans="1:7" x14ac:dyDescent="0.45">
      <c r="A607">
        <f>VLOOKUP(C607,'Field Layout'!$B$9:$AJ$35,MATCH(Index!B607,'Field Layout'!$B$8:$AJ$8,0),FALSE)</f>
        <v>2166</v>
      </c>
      <c r="B607">
        <v>23</v>
      </c>
      <c r="C607">
        <v>12</v>
      </c>
      <c r="D607">
        <v>150</v>
      </c>
      <c r="E607">
        <v>2</v>
      </c>
      <c r="F607" t="s">
        <v>584</v>
      </c>
      <c r="G607" t="s">
        <v>585</v>
      </c>
    </row>
    <row r="608" spans="1:7" x14ac:dyDescent="0.45">
      <c r="A608">
        <f>VLOOKUP(C608,'Field Layout'!$B$9:$AJ$35,MATCH(Index!B608,'Field Layout'!$B$8:$AJ$8,0),FALSE)</f>
        <v>2182</v>
      </c>
      <c r="B608">
        <v>23</v>
      </c>
      <c r="C608">
        <v>13</v>
      </c>
      <c r="D608">
        <v>150</v>
      </c>
      <c r="E608">
        <v>2</v>
      </c>
      <c r="F608" t="s">
        <v>321</v>
      </c>
      <c r="G608" t="s">
        <v>322</v>
      </c>
    </row>
    <row r="609" spans="1:7" x14ac:dyDescent="0.45">
      <c r="A609">
        <f>VLOOKUP(C609,'Field Layout'!$B$9:$AJ$35,MATCH(Index!B609,'Field Layout'!$B$8:$AJ$8,0),FALSE)</f>
        <v>2198</v>
      </c>
      <c r="B609">
        <v>23</v>
      </c>
      <c r="C609">
        <v>14</v>
      </c>
      <c r="D609">
        <v>150</v>
      </c>
      <c r="E609">
        <v>2</v>
      </c>
      <c r="F609" t="s">
        <v>676</v>
      </c>
      <c r="G609" t="s">
        <v>677</v>
      </c>
    </row>
    <row r="610" spans="1:7" x14ac:dyDescent="0.45">
      <c r="A610">
        <f>VLOOKUP(C610,'Field Layout'!$B$9:$AJ$35,MATCH(Index!B610,'Field Layout'!$B$8:$AJ$8,0),FALSE)</f>
        <v>2214</v>
      </c>
      <c r="B610">
        <v>23</v>
      </c>
      <c r="C610">
        <v>15</v>
      </c>
      <c r="D610">
        <v>150</v>
      </c>
      <c r="E610">
        <v>2</v>
      </c>
      <c r="F610" t="s">
        <v>329</v>
      </c>
      <c r="G610" t="s">
        <v>330</v>
      </c>
    </row>
    <row r="611" spans="1:7" x14ac:dyDescent="0.45">
      <c r="A611">
        <f>VLOOKUP(C611,'Field Layout'!$B$9:$AJ$35,MATCH(Index!B611,'Field Layout'!$B$8:$AJ$8,0),FALSE)</f>
        <v>2230</v>
      </c>
      <c r="B611">
        <v>23</v>
      </c>
      <c r="C611">
        <v>16</v>
      </c>
      <c r="D611">
        <v>150</v>
      </c>
      <c r="E611">
        <v>2</v>
      </c>
      <c r="F611" t="s">
        <v>155</v>
      </c>
      <c r="G611" t="s">
        <v>156</v>
      </c>
    </row>
    <row r="612" spans="1:7" x14ac:dyDescent="0.45">
      <c r="A612">
        <f>VLOOKUP(C612,'Field Layout'!$B$9:$AJ$35,MATCH(Index!B612,'Field Layout'!$B$8:$AJ$8,0),FALSE)</f>
        <v>2246</v>
      </c>
      <c r="B612">
        <v>23</v>
      </c>
      <c r="C612">
        <v>17</v>
      </c>
      <c r="D612">
        <v>150</v>
      </c>
      <c r="E612">
        <v>2</v>
      </c>
      <c r="F612" t="s">
        <v>100</v>
      </c>
      <c r="G612" t="s">
        <v>101</v>
      </c>
    </row>
    <row r="613" spans="1:7" x14ac:dyDescent="0.45">
      <c r="A613">
        <f>VLOOKUP(C613,'Field Layout'!$B$9:$AJ$35,MATCH(Index!B613,'Field Layout'!$B$8:$AJ$8,0),FALSE)</f>
        <v>2262</v>
      </c>
      <c r="B613">
        <v>23</v>
      </c>
      <c r="C613">
        <v>18</v>
      </c>
      <c r="D613">
        <v>150</v>
      </c>
      <c r="E613">
        <v>2</v>
      </c>
      <c r="F613" t="s">
        <v>173</v>
      </c>
      <c r="G613" t="s">
        <v>174</v>
      </c>
    </row>
    <row r="614" spans="1:7" x14ac:dyDescent="0.45">
      <c r="A614">
        <f>VLOOKUP(C614,'Field Layout'!$B$9:$AJ$35,MATCH(Index!B614,'Field Layout'!$B$8:$AJ$8,0),FALSE)</f>
        <v>2278</v>
      </c>
      <c r="B614">
        <v>23</v>
      </c>
      <c r="C614">
        <v>19</v>
      </c>
      <c r="D614">
        <v>150</v>
      </c>
      <c r="E614">
        <v>2</v>
      </c>
      <c r="F614" t="s">
        <v>353</v>
      </c>
      <c r="G614" t="s">
        <v>354</v>
      </c>
    </row>
    <row r="615" spans="1:7" x14ac:dyDescent="0.45">
      <c r="A615">
        <f>VLOOKUP(C615,'Field Layout'!$B$9:$AJ$35,MATCH(Index!B615,'Field Layout'!$B$8:$AJ$8,0),FALSE)</f>
        <v>2294</v>
      </c>
      <c r="B615">
        <v>23</v>
      </c>
      <c r="C615">
        <v>20</v>
      </c>
      <c r="D615">
        <v>150</v>
      </c>
      <c r="E615">
        <v>2</v>
      </c>
      <c r="F615" t="s">
        <v>402</v>
      </c>
      <c r="G615" t="s">
        <v>403</v>
      </c>
    </row>
    <row r="616" spans="1:7" x14ac:dyDescent="0.45">
      <c r="A616">
        <f>VLOOKUP(C616,'Field Layout'!$B$9:$AJ$35,MATCH(Index!B616,'Field Layout'!$B$8:$AJ$8,0),FALSE)</f>
        <v>2310</v>
      </c>
      <c r="B616">
        <v>23</v>
      </c>
      <c r="C616">
        <v>21</v>
      </c>
      <c r="D616">
        <v>150</v>
      </c>
      <c r="E616">
        <v>2</v>
      </c>
      <c r="F616" t="s">
        <v>167</v>
      </c>
      <c r="G616" t="s">
        <v>168</v>
      </c>
    </row>
    <row r="617" spans="1:7" x14ac:dyDescent="0.45">
      <c r="A617">
        <f>VLOOKUP(C617,'Field Layout'!$B$9:$AJ$35,MATCH(Index!B617,'Field Layout'!$B$8:$AJ$8,0),FALSE)</f>
        <v>2326</v>
      </c>
      <c r="B617">
        <v>23</v>
      </c>
      <c r="C617">
        <v>22</v>
      </c>
      <c r="D617">
        <v>150</v>
      </c>
      <c r="E617">
        <v>2</v>
      </c>
      <c r="F617" t="s">
        <v>259</v>
      </c>
      <c r="G617" t="s">
        <v>260</v>
      </c>
    </row>
    <row r="618" spans="1:7" x14ac:dyDescent="0.45">
      <c r="A618">
        <f>VLOOKUP(C618,'Field Layout'!$B$9:$AJ$35,MATCH(Index!B618,'Field Layout'!$B$8:$AJ$8,0),FALSE)</f>
        <v>2342</v>
      </c>
      <c r="B618">
        <v>23</v>
      </c>
      <c r="C618">
        <v>23</v>
      </c>
      <c r="D618">
        <v>150</v>
      </c>
      <c r="E618">
        <v>2</v>
      </c>
      <c r="F618" t="s">
        <v>704</v>
      </c>
      <c r="G618" t="s">
        <v>705</v>
      </c>
    </row>
    <row r="619" spans="1:7" x14ac:dyDescent="0.45">
      <c r="A619">
        <f>VLOOKUP(C619,'Field Layout'!$B$9:$AJ$35,MATCH(Index!B619,'Field Layout'!$B$8:$AJ$8,0),FALSE)</f>
        <v>2358</v>
      </c>
      <c r="B619">
        <v>23</v>
      </c>
      <c r="C619">
        <v>24</v>
      </c>
      <c r="D619">
        <v>150</v>
      </c>
      <c r="E619">
        <v>2</v>
      </c>
      <c r="F619" t="s">
        <v>700</v>
      </c>
      <c r="G619" t="s">
        <v>701</v>
      </c>
    </row>
    <row r="620" spans="1:7" x14ac:dyDescent="0.45">
      <c r="A620">
        <f>VLOOKUP(C620,'Field Layout'!$B$9:$AJ$35,MATCH(Index!B620,'Field Layout'!$B$8:$AJ$8,0),FALSE)</f>
        <v>2374</v>
      </c>
      <c r="B620">
        <v>23</v>
      </c>
      <c r="C620">
        <v>25</v>
      </c>
      <c r="D620">
        <v>150</v>
      </c>
      <c r="E620">
        <v>2</v>
      </c>
      <c r="F620" t="s">
        <v>698</v>
      </c>
      <c r="G620" t="s">
        <v>699</v>
      </c>
    </row>
    <row r="621" spans="1:7" x14ac:dyDescent="0.45">
      <c r="A621">
        <f>VLOOKUP(C621,'Field Layout'!$B$9:$AJ$35,MATCH(Index!B621,'Field Layout'!$B$8:$AJ$8,0),FALSE)</f>
        <v>2390</v>
      </c>
      <c r="B621">
        <v>23</v>
      </c>
      <c r="C621">
        <v>26</v>
      </c>
      <c r="D621">
        <v>150</v>
      </c>
      <c r="E621">
        <v>2</v>
      </c>
      <c r="F621" t="s">
        <v>128</v>
      </c>
      <c r="G621" t="s">
        <v>129</v>
      </c>
    </row>
    <row r="622" spans="1:7" x14ac:dyDescent="0.45">
      <c r="A622" t="str">
        <f>VLOOKUP(C622,'Field Layout'!$B$9:$AJ$35,MATCH(Index!B622,'Field Layout'!$B$8:$AJ$8,0),FALSE)</f>
        <v>Border</v>
      </c>
      <c r="B622">
        <v>23</v>
      </c>
      <c r="C622">
        <v>27</v>
      </c>
      <c r="D622">
        <v>150</v>
      </c>
      <c r="E622" t="s">
        <v>54</v>
      </c>
      <c r="F622" t="s">
        <v>92</v>
      </c>
      <c r="G622" t="s">
        <v>99</v>
      </c>
    </row>
    <row r="623" spans="1:7" x14ac:dyDescent="0.45">
      <c r="A623" t="str">
        <f>VLOOKUP(C623,'Field Layout'!$B$9:$AJ$35,MATCH(Index!B623,'Field Layout'!$B$8:$AJ$8,0),FALSE)</f>
        <v>Border</v>
      </c>
      <c r="B623">
        <v>24</v>
      </c>
      <c r="C623">
        <v>1</v>
      </c>
      <c r="D623">
        <v>150</v>
      </c>
      <c r="E623" t="s">
        <v>54</v>
      </c>
      <c r="F623" t="s">
        <v>92</v>
      </c>
      <c r="G623" t="s">
        <v>99</v>
      </c>
    </row>
    <row r="624" spans="1:7" x14ac:dyDescent="0.45">
      <c r="A624">
        <f>VLOOKUP(C624,'Field Layout'!$B$9:$AJ$35,MATCH(Index!B624,'Field Layout'!$B$8:$AJ$8,0),FALSE)</f>
        <v>2007</v>
      </c>
      <c r="B624">
        <v>24</v>
      </c>
      <c r="C624">
        <v>2</v>
      </c>
      <c r="D624">
        <v>150</v>
      </c>
      <c r="E624">
        <v>2</v>
      </c>
      <c r="F624" t="s">
        <v>452</v>
      </c>
      <c r="G624" t="s">
        <v>453</v>
      </c>
    </row>
    <row r="625" spans="1:7" x14ac:dyDescent="0.45">
      <c r="A625">
        <f>VLOOKUP(C625,'Field Layout'!$B$9:$AJ$35,MATCH(Index!B625,'Field Layout'!$B$8:$AJ$8,0),FALSE)</f>
        <v>2023</v>
      </c>
      <c r="B625">
        <v>24</v>
      </c>
      <c r="C625">
        <v>3</v>
      </c>
      <c r="D625">
        <v>150</v>
      </c>
      <c r="E625">
        <v>2</v>
      </c>
      <c r="F625" t="s">
        <v>626</v>
      </c>
      <c r="G625" t="s">
        <v>627</v>
      </c>
    </row>
    <row r="626" spans="1:7" x14ac:dyDescent="0.45">
      <c r="A626">
        <f>VLOOKUP(C626,'Field Layout'!$B$9:$AJ$35,MATCH(Index!B626,'Field Layout'!$B$8:$AJ$8,0),FALSE)</f>
        <v>2039</v>
      </c>
      <c r="B626">
        <v>24</v>
      </c>
      <c r="C626">
        <v>4</v>
      </c>
      <c r="D626">
        <v>150</v>
      </c>
      <c r="E626">
        <v>2</v>
      </c>
      <c r="F626" t="s">
        <v>118</v>
      </c>
      <c r="G626" t="s">
        <v>119</v>
      </c>
    </row>
    <row r="627" spans="1:7" x14ac:dyDescent="0.45">
      <c r="A627">
        <f>VLOOKUP(C627,'Field Layout'!$B$9:$AJ$35,MATCH(Index!B627,'Field Layout'!$B$8:$AJ$8,0),FALSE)</f>
        <v>2055</v>
      </c>
      <c r="B627">
        <v>24</v>
      </c>
      <c r="C627">
        <v>5</v>
      </c>
      <c r="D627">
        <v>150</v>
      </c>
      <c r="E627">
        <v>2</v>
      </c>
      <c r="F627" t="s">
        <v>496</v>
      </c>
      <c r="G627" t="s">
        <v>497</v>
      </c>
    </row>
    <row r="628" spans="1:7" x14ac:dyDescent="0.45">
      <c r="A628">
        <f>VLOOKUP(C628,'Field Layout'!$B$9:$AJ$35,MATCH(Index!B628,'Field Layout'!$B$8:$AJ$8,0),FALSE)</f>
        <v>2071</v>
      </c>
      <c r="B628">
        <v>24</v>
      </c>
      <c r="C628">
        <v>6</v>
      </c>
      <c r="D628">
        <v>150</v>
      </c>
      <c r="E628">
        <v>2</v>
      </c>
      <c r="F628" t="s">
        <v>772</v>
      </c>
      <c r="G628" t="s">
        <v>773</v>
      </c>
    </row>
    <row r="629" spans="1:7" x14ac:dyDescent="0.45">
      <c r="A629">
        <f>VLOOKUP(C629,'Field Layout'!$B$9:$AJ$35,MATCH(Index!B629,'Field Layout'!$B$8:$AJ$8,0),FALSE)</f>
        <v>2087</v>
      </c>
      <c r="B629">
        <v>24</v>
      </c>
      <c r="C629">
        <v>7</v>
      </c>
      <c r="D629">
        <v>150</v>
      </c>
      <c r="E629">
        <v>2</v>
      </c>
      <c r="F629" t="s">
        <v>118</v>
      </c>
      <c r="G629" t="s">
        <v>119</v>
      </c>
    </row>
    <row r="630" spans="1:7" x14ac:dyDescent="0.45">
      <c r="A630">
        <f>VLOOKUP(C630,'Field Layout'!$B$9:$AJ$35,MATCH(Index!B630,'Field Layout'!$B$8:$AJ$8,0),FALSE)</f>
        <v>2103</v>
      </c>
      <c r="B630">
        <v>24</v>
      </c>
      <c r="C630">
        <v>8</v>
      </c>
      <c r="D630">
        <v>150</v>
      </c>
      <c r="E630">
        <v>2</v>
      </c>
      <c r="F630" t="s">
        <v>428</v>
      </c>
      <c r="G630" t="s">
        <v>429</v>
      </c>
    </row>
    <row r="631" spans="1:7" x14ac:dyDescent="0.45">
      <c r="A631">
        <f>VLOOKUP(C631,'Field Layout'!$B$9:$AJ$35,MATCH(Index!B631,'Field Layout'!$B$8:$AJ$8,0),FALSE)</f>
        <v>2119</v>
      </c>
      <c r="B631">
        <v>24</v>
      </c>
      <c r="C631">
        <v>9</v>
      </c>
      <c r="D631">
        <v>150</v>
      </c>
      <c r="E631">
        <v>2</v>
      </c>
      <c r="F631" t="s">
        <v>732</v>
      </c>
      <c r="G631" t="s">
        <v>733</v>
      </c>
    </row>
    <row r="632" spans="1:7" x14ac:dyDescent="0.45">
      <c r="A632">
        <f>VLOOKUP(C632,'Field Layout'!$B$9:$AJ$35,MATCH(Index!B632,'Field Layout'!$B$8:$AJ$8,0),FALSE)</f>
        <v>2135</v>
      </c>
      <c r="B632">
        <v>24</v>
      </c>
      <c r="C632">
        <v>10</v>
      </c>
      <c r="D632">
        <v>150</v>
      </c>
      <c r="E632">
        <v>2</v>
      </c>
      <c r="F632" t="s">
        <v>430</v>
      </c>
      <c r="G632" t="s">
        <v>431</v>
      </c>
    </row>
    <row r="633" spans="1:7" x14ac:dyDescent="0.45">
      <c r="A633">
        <f>VLOOKUP(C633,'Field Layout'!$B$9:$AJ$35,MATCH(Index!B633,'Field Layout'!$B$8:$AJ$8,0),FALSE)</f>
        <v>2151</v>
      </c>
      <c r="B633">
        <v>24</v>
      </c>
      <c r="C633">
        <v>11</v>
      </c>
      <c r="D633">
        <v>150</v>
      </c>
      <c r="E633">
        <v>2</v>
      </c>
      <c r="F633" t="s">
        <v>508</v>
      </c>
      <c r="G633" t="s">
        <v>509</v>
      </c>
    </row>
    <row r="634" spans="1:7" x14ac:dyDescent="0.45">
      <c r="A634">
        <f>VLOOKUP(C634,'Field Layout'!$B$9:$AJ$35,MATCH(Index!B634,'Field Layout'!$B$8:$AJ$8,0),FALSE)</f>
        <v>2167</v>
      </c>
      <c r="B634">
        <v>24</v>
      </c>
      <c r="C634">
        <v>12</v>
      </c>
      <c r="D634">
        <v>150</v>
      </c>
      <c r="E634">
        <v>2</v>
      </c>
      <c r="F634" t="s">
        <v>118</v>
      </c>
      <c r="G634" t="s">
        <v>119</v>
      </c>
    </row>
    <row r="635" spans="1:7" x14ac:dyDescent="0.45">
      <c r="A635">
        <f>VLOOKUP(C635,'Field Layout'!$B$9:$AJ$35,MATCH(Index!B635,'Field Layout'!$B$8:$AJ$8,0),FALSE)</f>
        <v>2183</v>
      </c>
      <c r="B635">
        <v>24</v>
      </c>
      <c r="C635">
        <v>13</v>
      </c>
      <c r="D635">
        <v>150</v>
      </c>
      <c r="E635">
        <v>2</v>
      </c>
      <c r="F635" t="s">
        <v>106</v>
      </c>
      <c r="G635" t="s">
        <v>107</v>
      </c>
    </row>
    <row r="636" spans="1:7" x14ac:dyDescent="0.45">
      <c r="A636">
        <f>VLOOKUP(C636,'Field Layout'!$B$9:$AJ$35,MATCH(Index!B636,'Field Layout'!$B$8:$AJ$8,0),FALSE)</f>
        <v>2199</v>
      </c>
      <c r="B636">
        <v>24</v>
      </c>
      <c r="C636">
        <v>14</v>
      </c>
      <c r="D636">
        <v>150</v>
      </c>
      <c r="E636">
        <v>2</v>
      </c>
      <c r="F636" t="s">
        <v>108</v>
      </c>
      <c r="G636" t="s">
        <v>109</v>
      </c>
    </row>
    <row r="637" spans="1:7" x14ac:dyDescent="0.45">
      <c r="A637">
        <f>VLOOKUP(C637,'Field Layout'!$B$9:$AJ$35,MATCH(Index!B637,'Field Layout'!$B$8:$AJ$8,0),FALSE)</f>
        <v>2215</v>
      </c>
      <c r="B637">
        <v>24</v>
      </c>
      <c r="C637">
        <v>15</v>
      </c>
      <c r="D637">
        <v>150</v>
      </c>
      <c r="E637">
        <v>2</v>
      </c>
      <c r="F637" t="s">
        <v>372</v>
      </c>
      <c r="G637" t="s">
        <v>373</v>
      </c>
    </row>
    <row r="638" spans="1:7" x14ac:dyDescent="0.45">
      <c r="A638">
        <f>VLOOKUP(C638,'Field Layout'!$B$9:$AJ$35,MATCH(Index!B638,'Field Layout'!$B$8:$AJ$8,0),FALSE)</f>
        <v>2231</v>
      </c>
      <c r="B638">
        <v>24</v>
      </c>
      <c r="C638">
        <v>16</v>
      </c>
      <c r="D638">
        <v>150</v>
      </c>
      <c r="E638">
        <v>2</v>
      </c>
      <c r="F638" t="s">
        <v>285</v>
      </c>
      <c r="G638" t="s">
        <v>286</v>
      </c>
    </row>
    <row r="639" spans="1:7" x14ac:dyDescent="0.45">
      <c r="A639">
        <f>VLOOKUP(C639,'Field Layout'!$B$9:$AJ$35,MATCH(Index!B639,'Field Layout'!$B$8:$AJ$8,0),FALSE)</f>
        <v>2247</v>
      </c>
      <c r="B639">
        <v>24</v>
      </c>
      <c r="C639">
        <v>17</v>
      </c>
      <c r="D639">
        <v>150</v>
      </c>
      <c r="E639">
        <v>2</v>
      </c>
      <c r="F639" t="s">
        <v>632</v>
      </c>
      <c r="G639" t="s">
        <v>633</v>
      </c>
    </row>
    <row r="640" spans="1:7" x14ac:dyDescent="0.45">
      <c r="A640">
        <f>VLOOKUP(C640,'Field Layout'!$B$9:$AJ$35,MATCH(Index!B640,'Field Layout'!$B$8:$AJ$8,0),FALSE)</f>
        <v>2263</v>
      </c>
      <c r="B640">
        <v>24</v>
      </c>
      <c r="C640">
        <v>18</v>
      </c>
      <c r="D640">
        <v>150</v>
      </c>
      <c r="E640">
        <v>2</v>
      </c>
      <c r="F640" t="s">
        <v>564</v>
      </c>
      <c r="G640" t="s">
        <v>565</v>
      </c>
    </row>
    <row r="641" spans="1:7" x14ac:dyDescent="0.45">
      <c r="A641">
        <f>VLOOKUP(C641,'Field Layout'!$B$9:$AJ$35,MATCH(Index!B641,'Field Layout'!$B$8:$AJ$8,0),FALSE)</f>
        <v>2279</v>
      </c>
      <c r="B641">
        <v>24</v>
      </c>
      <c r="C641">
        <v>19</v>
      </c>
      <c r="D641">
        <v>150</v>
      </c>
      <c r="E641">
        <v>2</v>
      </c>
      <c r="F641" t="s">
        <v>478</v>
      </c>
      <c r="G641" t="s">
        <v>479</v>
      </c>
    </row>
    <row r="642" spans="1:7" x14ac:dyDescent="0.45">
      <c r="A642">
        <f>VLOOKUP(C642,'Field Layout'!$B$9:$AJ$35,MATCH(Index!B642,'Field Layout'!$B$8:$AJ$8,0),FALSE)</f>
        <v>2295</v>
      </c>
      <c r="B642">
        <v>24</v>
      </c>
      <c r="C642">
        <v>20</v>
      </c>
      <c r="D642">
        <v>150</v>
      </c>
      <c r="E642">
        <v>2</v>
      </c>
      <c r="F642" t="s">
        <v>261</v>
      </c>
      <c r="G642" t="s">
        <v>262</v>
      </c>
    </row>
    <row r="643" spans="1:7" x14ac:dyDescent="0.45">
      <c r="A643">
        <f>VLOOKUP(C643,'Field Layout'!$B$9:$AJ$35,MATCH(Index!B643,'Field Layout'!$B$8:$AJ$8,0),FALSE)</f>
        <v>2311</v>
      </c>
      <c r="B643">
        <v>24</v>
      </c>
      <c r="C643">
        <v>21</v>
      </c>
      <c r="D643">
        <v>150</v>
      </c>
      <c r="E643">
        <v>2</v>
      </c>
      <c r="F643" t="s">
        <v>706</v>
      </c>
      <c r="G643" t="s">
        <v>707</v>
      </c>
    </row>
    <row r="644" spans="1:7" x14ac:dyDescent="0.45">
      <c r="A644">
        <f>VLOOKUP(C644,'Field Layout'!$B$9:$AJ$35,MATCH(Index!B644,'Field Layout'!$B$8:$AJ$8,0),FALSE)</f>
        <v>2327</v>
      </c>
      <c r="B644">
        <v>24</v>
      </c>
      <c r="C644">
        <v>22</v>
      </c>
      <c r="D644">
        <v>150</v>
      </c>
      <c r="E644">
        <v>2</v>
      </c>
      <c r="F644" t="s">
        <v>400</v>
      </c>
      <c r="G644" t="s">
        <v>401</v>
      </c>
    </row>
    <row r="645" spans="1:7" x14ac:dyDescent="0.45">
      <c r="A645">
        <f>VLOOKUP(C645,'Field Layout'!$B$9:$AJ$35,MATCH(Index!B645,'Field Layout'!$B$8:$AJ$8,0),FALSE)</f>
        <v>2343</v>
      </c>
      <c r="B645">
        <v>24</v>
      </c>
      <c r="C645">
        <v>23</v>
      </c>
      <c r="D645">
        <v>150</v>
      </c>
      <c r="E645">
        <v>2</v>
      </c>
      <c r="F645" t="s">
        <v>568</v>
      </c>
      <c r="G645" t="s">
        <v>569</v>
      </c>
    </row>
    <row r="646" spans="1:7" x14ac:dyDescent="0.45">
      <c r="A646">
        <f>VLOOKUP(C646,'Field Layout'!$B$9:$AJ$35,MATCH(Index!B646,'Field Layout'!$B$8:$AJ$8,0),FALSE)</f>
        <v>2359</v>
      </c>
      <c r="B646">
        <v>24</v>
      </c>
      <c r="C646">
        <v>24</v>
      </c>
      <c r="D646">
        <v>150</v>
      </c>
      <c r="E646">
        <v>2</v>
      </c>
      <c r="F646" t="s">
        <v>533</v>
      </c>
      <c r="G646" t="s">
        <v>534</v>
      </c>
    </row>
    <row r="647" spans="1:7" x14ac:dyDescent="0.45">
      <c r="A647">
        <f>VLOOKUP(C647,'Field Layout'!$B$9:$AJ$35,MATCH(Index!B647,'Field Layout'!$B$8:$AJ$8,0),FALSE)</f>
        <v>2375</v>
      </c>
      <c r="B647">
        <v>24</v>
      </c>
      <c r="C647">
        <v>25</v>
      </c>
      <c r="D647">
        <v>150</v>
      </c>
      <c r="E647">
        <v>2</v>
      </c>
      <c r="F647" t="s">
        <v>118</v>
      </c>
      <c r="G647" t="s">
        <v>119</v>
      </c>
    </row>
    <row r="648" spans="1:7" x14ac:dyDescent="0.45">
      <c r="A648">
        <f>VLOOKUP(C648,'Field Layout'!$B$9:$AJ$35,MATCH(Index!B648,'Field Layout'!$B$8:$AJ$8,0),FALSE)</f>
        <v>2391</v>
      </c>
      <c r="B648">
        <v>24</v>
      </c>
      <c r="C648">
        <v>26</v>
      </c>
      <c r="D648">
        <v>150</v>
      </c>
      <c r="E648">
        <v>2</v>
      </c>
      <c r="F648" t="s">
        <v>527</v>
      </c>
      <c r="G648" t="s">
        <v>528</v>
      </c>
    </row>
    <row r="649" spans="1:7" x14ac:dyDescent="0.45">
      <c r="A649" t="str">
        <f>VLOOKUP(C649,'Field Layout'!$B$9:$AJ$35,MATCH(Index!B649,'Field Layout'!$B$8:$AJ$8,0),FALSE)</f>
        <v>Border</v>
      </c>
      <c r="B649">
        <v>24</v>
      </c>
      <c r="C649">
        <v>27</v>
      </c>
      <c r="D649">
        <v>150</v>
      </c>
      <c r="E649" t="s">
        <v>54</v>
      </c>
      <c r="F649" t="s">
        <v>92</v>
      </c>
      <c r="G649" t="s">
        <v>99</v>
      </c>
    </row>
    <row r="650" spans="1:7" x14ac:dyDescent="0.45">
      <c r="A650" t="str">
        <f>VLOOKUP(C650,'Field Layout'!$B$9:$AJ$35,MATCH(Index!B650,'Field Layout'!$B$8:$AJ$8,0),FALSE)</f>
        <v>Border</v>
      </c>
      <c r="B650">
        <v>25</v>
      </c>
      <c r="C650">
        <v>1</v>
      </c>
      <c r="D650">
        <v>150</v>
      </c>
      <c r="E650" t="s">
        <v>54</v>
      </c>
      <c r="F650" t="s">
        <v>92</v>
      </c>
      <c r="G650" t="s">
        <v>99</v>
      </c>
    </row>
    <row r="651" spans="1:7" x14ac:dyDescent="0.45">
      <c r="A651">
        <f>VLOOKUP(C651,'Field Layout'!$B$9:$AJ$35,MATCH(Index!B651,'Field Layout'!$B$8:$AJ$8,0),FALSE)</f>
        <v>2008</v>
      </c>
      <c r="B651">
        <v>25</v>
      </c>
      <c r="C651">
        <v>2</v>
      </c>
      <c r="D651">
        <v>150</v>
      </c>
      <c r="E651">
        <v>2</v>
      </c>
      <c r="F651" t="s">
        <v>118</v>
      </c>
      <c r="G651" t="s">
        <v>119</v>
      </c>
    </row>
    <row r="652" spans="1:7" x14ac:dyDescent="0.45">
      <c r="A652">
        <f>VLOOKUP(C652,'Field Layout'!$B$9:$AJ$35,MATCH(Index!B652,'Field Layout'!$B$8:$AJ$8,0),FALSE)</f>
        <v>2024</v>
      </c>
      <c r="B652">
        <v>25</v>
      </c>
      <c r="C652">
        <v>3</v>
      </c>
      <c r="D652">
        <v>150</v>
      </c>
      <c r="E652">
        <v>2</v>
      </c>
      <c r="F652" t="s">
        <v>450</v>
      </c>
      <c r="G652" t="s">
        <v>451</v>
      </c>
    </row>
    <row r="653" spans="1:7" x14ac:dyDescent="0.45">
      <c r="A653">
        <f>VLOOKUP(C653,'Field Layout'!$B$9:$AJ$35,MATCH(Index!B653,'Field Layout'!$B$8:$AJ$8,0),FALSE)</f>
        <v>2040</v>
      </c>
      <c r="B653">
        <v>25</v>
      </c>
      <c r="C653">
        <v>4</v>
      </c>
      <c r="D653">
        <v>150</v>
      </c>
      <c r="E653">
        <v>2</v>
      </c>
      <c r="F653" t="s">
        <v>118</v>
      </c>
      <c r="G653" t="s">
        <v>119</v>
      </c>
    </row>
    <row r="654" spans="1:7" x14ac:dyDescent="0.45">
      <c r="A654">
        <f>VLOOKUP(C654,'Field Layout'!$B$9:$AJ$35,MATCH(Index!B654,'Field Layout'!$B$8:$AJ$8,0),FALSE)</f>
        <v>2056</v>
      </c>
      <c r="B654">
        <v>25</v>
      </c>
      <c r="C654">
        <v>5</v>
      </c>
      <c r="D654">
        <v>150</v>
      </c>
      <c r="E654">
        <v>2</v>
      </c>
      <c r="F654" t="s">
        <v>275</v>
      </c>
      <c r="G654" t="s">
        <v>276</v>
      </c>
    </row>
    <row r="655" spans="1:7" x14ac:dyDescent="0.45">
      <c r="A655">
        <f>VLOOKUP(C655,'Field Layout'!$B$9:$AJ$35,MATCH(Index!B655,'Field Layout'!$B$8:$AJ$8,0),FALSE)</f>
        <v>2072</v>
      </c>
      <c r="B655">
        <v>25</v>
      </c>
      <c r="C655">
        <v>6</v>
      </c>
      <c r="D655">
        <v>150</v>
      </c>
      <c r="E655">
        <v>2</v>
      </c>
      <c r="F655" t="s">
        <v>207</v>
      </c>
      <c r="G655" t="s">
        <v>208</v>
      </c>
    </row>
    <row r="656" spans="1:7" x14ac:dyDescent="0.45">
      <c r="A656">
        <f>VLOOKUP(C656,'Field Layout'!$B$9:$AJ$35,MATCH(Index!B656,'Field Layout'!$B$8:$AJ$8,0),FALSE)</f>
        <v>2088</v>
      </c>
      <c r="B656">
        <v>25</v>
      </c>
      <c r="C656">
        <v>7</v>
      </c>
      <c r="D656">
        <v>150</v>
      </c>
      <c r="E656">
        <v>2</v>
      </c>
      <c r="F656" t="s">
        <v>382</v>
      </c>
      <c r="G656" t="s">
        <v>383</v>
      </c>
    </row>
    <row r="657" spans="1:7" x14ac:dyDescent="0.45">
      <c r="A657">
        <f>VLOOKUP(C657,'Field Layout'!$B$9:$AJ$35,MATCH(Index!B657,'Field Layout'!$B$8:$AJ$8,0),FALSE)</f>
        <v>2104</v>
      </c>
      <c r="B657">
        <v>25</v>
      </c>
      <c r="C657">
        <v>8</v>
      </c>
      <c r="D657">
        <v>150</v>
      </c>
      <c r="E657">
        <v>2</v>
      </c>
      <c r="F657" t="s">
        <v>688</v>
      </c>
      <c r="G657" t="s">
        <v>689</v>
      </c>
    </row>
    <row r="658" spans="1:7" x14ac:dyDescent="0.45">
      <c r="A658">
        <f>VLOOKUP(C658,'Field Layout'!$B$9:$AJ$35,MATCH(Index!B658,'Field Layout'!$B$8:$AJ$8,0),FALSE)</f>
        <v>2120</v>
      </c>
      <c r="B658">
        <v>25</v>
      </c>
      <c r="C658">
        <v>9</v>
      </c>
      <c r="D658">
        <v>150</v>
      </c>
      <c r="E658">
        <v>2</v>
      </c>
      <c r="F658" t="s">
        <v>118</v>
      </c>
      <c r="G658" t="s">
        <v>119</v>
      </c>
    </row>
    <row r="659" spans="1:7" x14ac:dyDescent="0.45">
      <c r="A659">
        <f>VLOOKUP(C659,'Field Layout'!$B$9:$AJ$35,MATCH(Index!B659,'Field Layout'!$B$8:$AJ$8,0),FALSE)</f>
        <v>2136</v>
      </c>
      <c r="B659">
        <v>25</v>
      </c>
      <c r="C659">
        <v>10</v>
      </c>
      <c r="D659">
        <v>150</v>
      </c>
      <c r="E659">
        <v>2</v>
      </c>
      <c r="F659" t="s">
        <v>780</v>
      </c>
      <c r="G659" t="s">
        <v>781</v>
      </c>
    </row>
    <row r="660" spans="1:7" x14ac:dyDescent="0.45">
      <c r="A660">
        <f>VLOOKUP(C660,'Field Layout'!$B$9:$AJ$35,MATCH(Index!B660,'Field Layout'!$B$8:$AJ$8,0),FALSE)</f>
        <v>2152</v>
      </c>
      <c r="B660">
        <v>25</v>
      </c>
      <c r="C660">
        <v>11</v>
      </c>
      <c r="D660">
        <v>150</v>
      </c>
      <c r="E660">
        <v>2</v>
      </c>
      <c r="F660" t="s">
        <v>151</v>
      </c>
      <c r="G660" t="s">
        <v>152</v>
      </c>
    </row>
    <row r="661" spans="1:7" x14ac:dyDescent="0.45">
      <c r="A661">
        <f>VLOOKUP(C661,'Field Layout'!$B$9:$AJ$35,MATCH(Index!B661,'Field Layout'!$B$8:$AJ$8,0),FALSE)</f>
        <v>2168</v>
      </c>
      <c r="B661">
        <v>25</v>
      </c>
      <c r="C661">
        <v>12</v>
      </c>
      <c r="D661">
        <v>150</v>
      </c>
      <c r="E661">
        <v>2</v>
      </c>
      <c r="F661" t="s">
        <v>118</v>
      </c>
      <c r="G661" t="s">
        <v>119</v>
      </c>
    </row>
    <row r="662" spans="1:7" x14ac:dyDescent="0.45">
      <c r="A662">
        <f>VLOOKUP(C662,'Field Layout'!$B$9:$AJ$35,MATCH(Index!B662,'Field Layout'!$B$8:$AJ$8,0),FALSE)</f>
        <v>2184</v>
      </c>
      <c r="B662">
        <v>25</v>
      </c>
      <c r="C662">
        <v>13</v>
      </c>
      <c r="D662">
        <v>150</v>
      </c>
      <c r="E662">
        <v>2</v>
      </c>
      <c r="F662" t="s">
        <v>331</v>
      </c>
      <c r="G662" t="s">
        <v>332</v>
      </c>
    </row>
    <row r="663" spans="1:7" x14ac:dyDescent="0.45">
      <c r="A663">
        <f>VLOOKUP(C663,'Field Layout'!$B$9:$AJ$35,MATCH(Index!B663,'Field Layout'!$B$8:$AJ$8,0),FALSE)</f>
        <v>2200</v>
      </c>
      <c r="B663">
        <v>25</v>
      </c>
      <c r="C663">
        <v>14</v>
      </c>
      <c r="D663">
        <v>150</v>
      </c>
      <c r="E663">
        <v>2</v>
      </c>
      <c r="F663" t="s">
        <v>586</v>
      </c>
      <c r="G663" t="s">
        <v>587</v>
      </c>
    </row>
    <row r="664" spans="1:7" x14ac:dyDescent="0.45">
      <c r="A664">
        <f>VLOOKUP(C664,'Field Layout'!$B$9:$AJ$35,MATCH(Index!B664,'Field Layout'!$B$8:$AJ$8,0),FALSE)</f>
        <v>2216</v>
      </c>
      <c r="B664">
        <v>25</v>
      </c>
      <c r="C664">
        <v>15</v>
      </c>
      <c r="D664">
        <v>150</v>
      </c>
      <c r="E664">
        <v>2</v>
      </c>
      <c r="F664" t="s">
        <v>239</v>
      </c>
      <c r="G664" t="s">
        <v>240</v>
      </c>
    </row>
    <row r="665" spans="1:7" x14ac:dyDescent="0.45">
      <c r="A665">
        <f>VLOOKUP(C665,'Field Layout'!$B$9:$AJ$35,MATCH(Index!B665,'Field Layout'!$B$8:$AJ$8,0),FALSE)</f>
        <v>2232</v>
      </c>
      <c r="B665">
        <v>25</v>
      </c>
      <c r="C665">
        <v>16</v>
      </c>
      <c r="D665">
        <v>150</v>
      </c>
      <c r="E665">
        <v>2</v>
      </c>
      <c r="F665" t="s">
        <v>114</v>
      </c>
      <c r="G665" t="s">
        <v>115</v>
      </c>
    </row>
    <row r="666" spans="1:7" x14ac:dyDescent="0.45">
      <c r="A666">
        <f>VLOOKUP(C666,'Field Layout'!$B$9:$AJ$35,MATCH(Index!B666,'Field Layout'!$B$8:$AJ$8,0),FALSE)</f>
        <v>2248</v>
      </c>
      <c r="B666">
        <v>25</v>
      </c>
      <c r="C666">
        <v>17</v>
      </c>
      <c r="D666">
        <v>150</v>
      </c>
      <c r="E666">
        <v>2</v>
      </c>
      <c r="F666" t="s">
        <v>149</v>
      </c>
      <c r="G666" t="s">
        <v>150</v>
      </c>
    </row>
    <row r="667" spans="1:7" x14ac:dyDescent="0.45">
      <c r="A667">
        <f>VLOOKUP(C667,'Field Layout'!$B$9:$AJ$35,MATCH(Index!B667,'Field Layout'!$B$8:$AJ$8,0),FALSE)</f>
        <v>2264</v>
      </c>
      <c r="B667">
        <v>25</v>
      </c>
      <c r="C667">
        <v>18</v>
      </c>
      <c r="D667">
        <v>150</v>
      </c>
      <c r="E667">
        <v>2</v>
      </c>
      <c r="F667" t="s">
        <v>265</v>
      </c>
      <c r="G667" t="s">
        <v>266</v>
      </c>
    </row>
    <row r="668" spans="1:7" x14ac:dyDescent="0.45">
      <c r="A668">
        <f>VLOOKUP(C668,'Field Layout'!$B$9:$AJ$35,MATCH(Index!B668,'Field Layout'!$B$8:$AJ$8,0),FALSE)</f>
        <v>2280</v>
      </c>
      <c r="B668">
        <v>25</v>
      </c>
      <c r="C668">
        <v>19</v>
      </c>
      <c r="D668">
        <v>150</v>
      </c>
      <c r="E668">
        <v>2</v>
      </c>
      <c r="F668" t="s">
        <v>359</v>
      </c>
      <c r="G668" t="s">
        <v>360</v>
      </c>
    </row>
    <row r="669" spans="1:7" x14ac:dyDescent="0.45">
      <c r="A669">
        <f>VLOOKUP(C669,'Field Layout'!$B$9:$AJ$35,MATCH(Index!B669,'Field Layout'!$B$8:$AJ$8,0),FALSE)</f>
        <v>2296</v>
      </c>
      <c r="B669">
        <v>25</v>
      </c>
      <c r="C669">
        <v>20</v>
      </c>
      <c r="D669">
        <v>150</v>
      </c>
      <c r="E669">
        <v>2</v>
      </c>
      <c r="F669" t="s">
        <v>566</v>
      </c>
      <c r="G669" t="s">
        <v>567</v>
      </c>
    </row>
    <row r="670" spans="1:7" x14ac:dyDescent="0.45">
      <c r="A670">
        <f>VLOOKUP(C670,'Field Layout'!$B$9:$AJ$35,MATCH(Index!B670,'Field Layout'!$B$8:$AJ$8,0),FALSE)</f>
        <v>2312</v>
      </c>
      <c r="B670">
        <v>25</v>
      </c>
      <c r="C670">
        <v>21</v>
      </c>
      <c r="D670">
        <v>150</v>
      </c>
      <c r="E670">
        <v>2</v>
      </c>
      <c r="F670" t="s">
        <v>736</v>
      </c>
      <c r="G670" t="s">
        <v>737</v>
      </c>
    </row>
    <row r="671" spans="1:7" x14ac:dyDescent="0.45">
      <c r="A671">
        <f>VLOOKUP(C671,'Field Layout'!$B$9:$AJ$35,MATCH(Index!B671,'Field Layout'!$B$8:$AJ$8,0),FALSE)</f>
        <v>2328</v>
      </c>
      <c r="B671">
        <v>25</v>
      </c>
      <c r="C671">
        <v>22</v>
      </c>
      <c r="D671">
        <v>150</v>
      </c>
      <c r="E671">
        <v>2</v>
      </c>
      <c r="F671" t="s">
        <v>480</v>
      </c>
      <c r="G671" t="s">
        <v>481</v>
      </c>
    </row>
    <row r="672" spans="1:7" x14ac:dyDescent="0.45">
      <c r="A672">
        <f>VLOOKUP(C672,'Field Layout'!$B$9:$AJ$35,MATCH(Index!B672,'Field Layout'!$B$8:$AJ$8,0),FALSE)</f>
        <v>2344</v>
      </c>
      <c r="B672">
        <v>25</v>
      </c>
      <c r="C672">
        <v>23</v>
      </c>
      <c r="D672">
        <v>150</v>
      </c>
      <c r="E672">
        <v>2</v>
      </c>
      <c r="F672" t="s">
        <v>392</v>
      </c>
      <c r="G672" t="s">
        <v>393</v>
      </c>
    </row>
    <row r="673" spans="1:7" x14ac:dyDescent="0.45">
      <c r="A673">
        <f>VLOOKUP(C673,'Field Layout'!$B$9:$AJ$35,MATCH(Index!B673,'Field Layout'!$B$8:$AJ$8,0),FALSE)</f>
        <v>2360</v>
      </c>
      <c r="B673">
        <v>25</v>
      </c>
      <c r="C673">
        <v>24</v>
      </c>
      <c r="D673">
        <v>150</v>
      </c>
      <c r="E673">
        <v>2</v>
      </c>
      <c r="F673" t="s">
        <v>345</v>
      </c>
      <c r="G673" t="s">
        <v>346</v>
      </c>
    </row>
    <row r="674" spans="1:7" x14ac:dyDescent="0.45">
      <c r="A674">
        <f>VLOOKUP(C674,'Field Layout'!$B$9:$AJ$35,MATCH(Index!B674,'Field Layout'!$B$8:$AJ$8,0),FALSE)</f>
        <v>2376</v>
      </c>
      <c r="B674">
        <v>25</v>
      </c>
      <c r="C674">
        <v>25</v>
      </c>
      <c r="D674">
        <v>150</v>
      </c>
      <c r="E674">
        <v>2</v>
      </c>
      <c r="F674" t="s">
        <v>132</v>
      </c>
      <c r="G674" t="s">
        <v>133</v>
      </c>
    </row>
    <row r="675" spans="1:7" x14ac:dyDescent="0.45">
      <c r="A675">
        <f>VLOOKUP(C675,'Field Layout'!$B$9:$AJ$35,MATCH(Index!B675,'Field Layout'!$B$8:$AJ$8,0),FALSE)</f>
        <v>2392</v>
      </c>
      <c r="B675">
        <v>25</v>
      </c>
      <c r="C675">
        <v>26</v>
      </c>
      <c r="D675">
        <v>150</v>
      </c>
      <c r="E675">
        <v>2</v>
      </c>
      <c r="F675" t="s">
        <v>484</v>
      </c>
      <c r="G675" t="s">
        <v>485</v>
      </c>
    </row>
    <row r="676" spans="1:7" x14ac:dyDescent="0.45">
      <c r="A676" t="str">
        <f>VLOOKUP(C676,'Field Layout'!$B$9:$AJ$35,MATCH(Index!B676,'Field Layout'!$B$8:$AJ$8,0),FALSE)</f>
        <v>Border</v>
      </c>
      <c r="B676">
        <v>25</v>
      </c>
      <c r="C676">
        <v>27</v>
      </c>
      <c r="D676">
        <v>150</v>
      </c>
      <c r="E676" t="s">
        <v>54</v>
      </c>
      <c r="F676" t="s">
        <v>92</v>
      </c>
      <c r="G676" t="s">
        <v>99</v>
      </c>
    </row>
    <row r="677" spans="1:7" x14ac:dyDescent="0.45">
      <c r="A677" t="str">
        <f>VLOOKUP(C677,'Field Layout'!$B$9:$AJ$35,MATCH(Index!B677,'Field Layout'!$B$8:$AJ$8,0),FALSE)</f>
        <v>Border</v>
      </c>
      <c r="B677">
        <v>26</v>
      </c>
      <c r="C677">
        <v>1</v>
      </c>
      <c r="D677">
        <v>150</v>
      </c>
      <c r="E677" t="s">
        <v>54</v>
      </c>
      <c r="F677" t="s">
        <v>92</v>
      </c>
      <c r="G677" t="s">
        <v>99</v>
      </c>
    </row>
    <row r="678" spans="1:7" x14ac:dyDescent="0.45">
      <c r="A678">
        <f>VLOOKUP(C678,'Field Layout'!$B$9:$AJ$35,MATCH(Index!B678,'Field Layout'!$B$8:$AJ$8,0),FALSE)</f>
        <v>2009</v>
      </c>
      <c r="B678">
        <v>26</v>
      </c>
      <c r="C678">
        <v>2</v>
      </c>
      <c r="D678">
        <v>150</v>
      </c>
      <c r="E678">
        <v>2</v>
      </c>
      <c r="F678" t="s">
        <v>144</v>
      </c>
      <c r="G678" t="s">
        <v>145</v>
      </c>
    </row>
    <row r="679" spans="1:7" x14ac:dyDescent="0.45">
      <c r="A679">
        <f>VLOOKUP(C679,'Field Layout'!$B$9:$AJ$35,MATCH(Index!B679,'Field Layout'!$B$8:$AJ$8,0),FALSE)</f>
        <v>2025</v>
      </c>
      <c r="B679">
        <v>26</v>
      </c>
      <c r="C679">
        <v>3</v>
      </c>
      <c r="D679">
        <v>150</v>
      </c>
      <c r="E679">
        <v>2</v>
      </c>
      <c r="F679" t="s">
        <v>404</v>
      </c>
      <c r="G679" t="s">
        <v>405</v>
      </c>
    </row>
    <row r="680" spans="1:7" x14ac:dyDescent="0.45">
      <c r="A680">
        <f>VLOOKUP(C680,'Field Layout'!$B$9:$AJ$35,MATCH(Index!B680,'Field Layout'!$B$8:$AJ$8,0),FALSE)</f>
        <v>2041</v>
      </c>
      <c r="B680">
        <v>26</v>
      </c>
      <c r="C680">
        <v>4</v>
      </c>
      <c r="D680">
        <v>150</v>
      </c>
      <c r="E680">
        <v>2</v>
      </c>
      <c r="F680" t="s">
        <v>406</v>
      </c>
      <c r="G680" t="s">
        <v>407</v>
      </c>
    </row>
    <row r="681" spans="1:7" x14ac:dyDescent="0.45">
      <c r="A681">
        <f>VLOOKUP(C681,'Field Layout'!$B$9:$AJ$35,MATCH(Index!B681,'Field Layout'!$B$8:$AJ$8,0),FALSE)</f>
        <v>2057</v>
      </c>
      <c r="B681">
        <v>26</v>
      </c>
      <c r="C681">
        <v>5</v>
      </c>
      <c r="D681">
        <v>150</v>
      </c>
      <c r="E681">
        <v>2</v>
      </c>
      <c r="F681" t="s">
        <v>710</v>
      </c>
      <c r="G681" t="s">
        <v>711</v>
      </c>
    </row>
    <row r="682" spans="1:7" x14ac:dyDescent="0.45">
      <c r="A682">
        <f>VLOOKUP(C682,'Field Layout'!$B$9:$AJ$35,MATCH(Index!B682,'Field Layout'!$B$8:$AJ$8,0),FALSE)</f>
        <v>2073</v>
      </c>
      <c r="B682">
        <v>26</v>
      </c>
      <c r="C682">
        <v>6</v>
      </c>
      <c r="D682">
        <v>150</v>
      </c>
      <c r="E682">
        <v>2</v>
      </c>
      <c r="F682" t="s">
        <v>644</v>
      </c>
      <c r="G682" t="s">
        <v>645</v>
      </c>
    </row>
    <row r="683" spans="1:7" x14ac:dyDescent="0.45">
      <c r="A683">
        <f>VLOOKUP(C683,'Field Layout'!$B$9:$AJ$35,MATCH(Index!B683,'Field Layout'!$B$8:$AJ$8,0),FALSE)</f>
        <v>2089</v>
      </c>
      <c r="B683">
        <v>26</v>
      </c>
      <c r="C683">
        <v>7</v>
      </c>
      <c r="D683">
        <v>150</v>
      </c>
      <c r="E683">
        <v>2</v>
      </c>
      <c r="F683" t="s">
        <v>118</v>
      </c>
      <c r="G683" t="s">
        <v>119</v>
      </c>
    </row>
    <row r="684" spans="1:7" x14ac:dyDescent="0.45">
      <c r="A684">
        <f>VLOOKUP(C684,'Field Layout'!$B$9:$AJ$35,MATCH(Index!B684,'Field Layout'!$B$8:$AJ$8,0),FALSE)</f>
        <v>2105</v>
      </c>
      <c r="B684">
        <v>26</v>
      </c>
      <c r="C684">
        <v>8</v>
      </c>
      <c r="D684">
        <v>150</v>
      </c>
      <c r="E684">
        <v>2</v>
      </c>
      <c r="F684" t="s">
        <v>600</v>
      </c>
      <c r="G684" t="s">
        <v>601</v>
      </c>
    </row>
    <row r="685" spans="1:7" x14ac:dyDescent="0.45">
      <c r="A685">
        <f>VLOOKUP(C685,'Field Layout'!$B$9:$AJ$35,MATCH(Index!B685,'Field Layout'!$B$8:$AJ$8,0),FALSE)</f>
        <v>2121</v>
      </c>
      <c r="B685">
        <v>26</v>
      </c>
      <c r="C685">
        <v>9</v>
      </c>
      <c r="D685">
        <v>150</v>
      </c>
      <c r="E685">
        <v>2</v>
      </c>
      <c r="F685" t="s">
        <v>604</v>
      </c>
      <c r="G685" t="s">
        <v>605</v>
      </c>
    </row>
    <row r="686" spans="1:7" x14ac:dyDescent="0.45">
      <c r="A686">
        <f>VLOOKUP(C686,'Field Layout'!$B$9:$AJ$35,MATCH(Index!B686,'Field Layout'!$B$8:$AJ$8,0),FALSE)</f>
        <v>2137</v>
      </c>
      <c r="B686">
        <v>26</v>
      </c>
      <c r="C686">
        <v>10</v>
      </c>
      <c r="D686">
        <v>150</v>
      </c>
      <c r="E686">
        <v>2</v>
      </c>
      <c r="F686" t="s">
        <v>778</v>
      </c>
      <c r="G686" t="s">
        <v>779</v>
      </c>
    </row>
    <row r="687" spans="1:7" x14ac:dyDescent="0.45">
      <c r="A687">
        <f>VLOOKUP(C687,'Field Layout'!$B$9:$AJ$35,MATCH(Index!B687,'Field Layout'!$B$8:$AJ$8,0),FALSE)</f>
        <v>2153</v>
      </c>
      <c r="B687">
        <v>26</v>
      </c>
      <c r="C687">
        <v>11</v>
      </c>
      <c r="D687">
        <v>150</v>
      </c>
      <c r="E687">
        <v>2</v>
      </c>
      <c r="F687" t="s">
        <v>682</v>
      </c>
      <c r="G687" t="s">
        <v>683</v>
      </c>
    </row>
    <row r="688" spans="1:7" x14ac:dyDescent="0.45">
      <c r="A688">
        <f>VLOOKUP(C688,'Field Layout'!$B$9:$AJ$35,MATCH(Index!B688,'Field Layout'!$B$8:$AJ$8,0),FALSE)</f>
        <v>2169</v>
      </c>
      <c r="B688">
        <v>26</v>
      </c>
      <c r="C688">
        <v>12</v>
      </c>
      <c r="D688">
        <v>150</v>
      </c>
      <c r="E688">
        <v>2</v>
      </c>
      <c r="F688" t="s">
        <v>594</v>
      </c>
      <c r="G688" t="s">
        <v>595</v>
      </c>
    </row>
    <row r="689" spans="1:7" x14ac:dyDescent="0.45">
      <c r="A689">
        <f>VLOOKUP(C689,'Field Layout'!$B$9:$AJ$35,MATCH(Index!B689,'Field Layout'!$B$8:$AJ$8,0),FALSE)</f>
        <v>2185</v>
      </c>
      <c r="B689">
        <v>26</v>
      </c>
      <c r="C689">
        <v>13</v>
      </c>
      <c r="D689">
        <v>150</v>
      </c>
      <c r="E689">
        <v>2</v>
      </c>
      <c r="F689" t="s">
        <v>672</v>
      </c>
      <c r="G689" t="s">
        <v>673</v>
      </c>
    </row>
    <row r="690" spans="1:7" x14ac:dyDescent="0.45">
      <c r="A690">
        <f>VLOOKUP(C690,'Field Layout'!$B$9:$AJ$35,MATCH(Index!B690,'Field Layout'!$B$8:$AJ$8,0),FALSE)</f>
        <v>2201</v>
      </c>
      <c r="B690">
        <v>26</v>
      </c>
      <c r="C690">
        <v>14</v>
      </c>
      <c r="D690">
        <v>150</v>
      </c>
      <c r="E690">
        <v>2</v>
      </c>
      <c r="F690" t="s">
        <v>506</v>
      </c>
      <c r="G690" t="s">
        <v>507</v>
      </c>
    </row>
    <row r="691" spans="1:7" x14ac:dyDescent="0.45">
      <c r="A691">
        <f>VLOOKUP(C691,'Field Layout'!$B$9:$AJ$35,MATCH(Index!B691,'Field Layout'!$B$8:$AJ$8,0),FALSE)</f>
        <v>2217</v>
      </c>
      <c r="B691">
        <v>26</v>
      </c>
      <c r="C691">
        <v>15</v>
      </c>
      <c r="D691">
        <v>150</v>
      </c>
      <c r="E691">
        <v>2</v>
      </c>
      <c r="F691" t="s">
        <v>766</v>
      </c>
      <c r="G691" t="s">
        <v>767</v>
      </c>
    </row>
    <row r="692" spans="1:7" x14ac:dyDescent="0.45">
      <c r="A692">
        <f>VLOOKUP(C692,'Field Layout'!$B$9:$AJ$35,MATCH(Index!B692,'Field Layout'!$B$8:$AJ$8,0),FALSE)</f>
        <v>2233</v>
      </c>
      <c r="B692">
        <v>26</v>
      </c>
      <c r="C692">
        <v>16</v>
      </c>
      <c r="D692">
        <v>150</v>
      </c>
      <c r="E692">
        <v>2</v>
      </c>
      <c r="F692" t="s">
        <v>462</v>
      </c>
      <c r="G692" t="s">
        <v>463</v>
      </c>
    </row>
    <row r="693" spans="1:7" x14ac:dyDescent="0.45">
      <c r="A693">
        <f>VLOOKUP(C693,'Field Layout'!$B$9:$AJ$35,MATCH(Index!B693,'Field Layout'!$B$8:$AJ$8,0),FALSE)</f>
        <v>2249</v>
      </c>
      <c r="B693">
        <v>26</v>
      </c>
      <c r="C693">
        <v>17</v>
      </c>
      <c r="D693">
        <v>150</v>
      </c>
      <c r="E693">
        <v>2</v>
      </c>
      <c r="F693" t="s">
        <v>118</v>
      </c>
      <c r="G693" t="s">
        <v>119</v>
      </c>
    </row>
    <row r="694" spans="1:7" x14ac:dyDescent="0.45">
      <c r="A694">
        <f>VLOOKUP(C694,'Field Layout'!$B$9:$AJ$35,MATCH(Index!B694,'Field Layout'!$B$8:$AJ$8,0),FALSE)</f>
        <v>2265</v>
      </c>
      <c r="B694">
        <v>26</v>
      </c>
      <c r="C694">
        <v>18</v>
      </c>
      <c r="D694">
        <v>150</v>
      </c>
      <c r="E694">
        <v>2</v>
      </c>
      <c r="F694" t="s">
        <v>269</v>
      </c>
      <c r="G694" t="s">
        <v>270</v>
      </c>
    </row>
    <row r="695" spans="1:7" x14ac:dyDescent="0.45">
      <c r="A695">
        <f>VLOOKUP(C695,'Field Layout'!$B$9:$AJ$35,MATCH(Index!B695,'Field Layout'!$B$8:$AJ$8,0),FALSE)</f>
        <v>2281</v>
      </c>
      <c r="B695">
        <v>26</v>
      </c>
      <c r="C695">
        <v>19</v>
      </c>
      <c r="D695">
        <v>150</v>
      </c>
      <c r="E695">
        <v>2</v>
      </c>
      <c r="F695" t="s">
        <v>446</v>
      </c>
      <c r="G695" t="s">
        <v>447</v>
      </c>
    </row>
    <row r="696" spans="1:7" x14ac:dyDescent="0.45">
      <c r="A696">
        <f>VLOOKUP(C696,'Field Layout'!$B$9:$AJ$35,MATCH(Index!B696,'Field Layout'!$B$8:$AJ$8,0),FALSE)</f>
        <v>2297</v>
      </c>
      <c r="B696">
        <v>26</v>
      </c>
      <c r="C696">
        <v>20</v>
      </c>
      <c r="D696">
        <v>150</v>
      </c>
      <c r="E696">
        <v>2</v>
      </c>
      <c r="F696" t="s">
        <v>738</v>
      </c>
      <c r="G696" t="s">
        <v>739</v>
      </c>
    </row>
    <row r="697" spans="1:7" x14ac:dyDescent="0.45">
      <c r="A697">
        <f>VLOOKUP(C697,'Field Layout'!$B$9:$AJ$35,MATCH(Index!B697,'Field Layout'!$B$8:$AJ$8,0),FALSE)</f>
        <v>2313</v>
      </c>
      <c r="B697">
        <v>26</v>
      </c>
      <c r="C697">
        <v>21</v>
      </c>
      <c r="D697">
        <v>150</v>
      </c>
      <c r="E697">
        <v>2</v>
      </c>
      <c r="F697" t="s">
        <v>746</v>
      </c>
      <c r="G697" t="s">
        <v>747</v>
      </c>
    </row>
    <row r="698" spans="1:7" x14ac:dyDescent="0.45">
      <c r="A698">
        <f>VLOOKUP(C698,'Field Layout'!$B$9:$AJ$35,MATCH(Index!B698,'Field Layout'!$B$8:$AJ$8,0),FALSE)</f>
        <v>2329</v>
      </c>
      <c r="B698">
        <v>26</v>
      </c>
      <c r="C698">
        <v>22</v>
      </c>
      <c r="D698">
        <v>150</v>
      </c>
      <c r="E698">
        <v>2</v>
      </c>
      <c r="F698" t="s">
        <v>398</v>
      </c>
      <c r="G698" t="s">
        <v>399</v>
      </c>
    </row>
    <row r="699" spans="1:7" x14ac:dyDescent="0.45">
      <c r="A699">
        <f>VLOOKUP(C699,'Field Layout'!$B$9:$AJ$35,MATCH(Index!B699,'Field Layout'!$B$8:$AJ$8,0),FALSE)</f>
        <v>2345</v>
      </c>
      <c r="B699">
        <v>26</v>
      </c>
      <c r="C699">
        <v>23</v>
      </c>
      <c r="D699">
        <v>150</v>
      </c>
      <c r="E699">
        <v>2</v>
      </c>
      <c r="F699" t="s">
        <v>219</v>
      </c>
      <c r="G699" t="s">
        <v>220</v>
      </c>
    </row>
    <row r="700" spans="1:7" x14ac:dyDescent="0.45">
      <c r="A700">
        <f>VLOOKUP(C700,'Field Layout'!$B$9:$AJ$35,MATCH(Index!B700,'Field Layout'!$B$8:$AJ$8,0),FALSE)</f>
        <v>2361</v>
      </c>
      <c r="B700">
        <v>26</v>
      </c>
      <c r="C700">
        <v>24</v>
      </c>
      <c r="D700">
        <v>150</v>
      </c>
      <c r="E700">
        <v>2</v>
      </c>
      <c r="F700" t="s">
        <v>215</v>
      </c>
      <c r="G700" t="s">
        <v>216</v>
      </c>
    </row>
    <row r="701" spans="1:7" x14ac:dyDescent="0.45">
      <c r="A701">
        <f>VLOOKUP(C701,'Field Layout'!$B$9:$AJ$35,MATCH(Index!B701,'Field Layout'!$B$8:$AJ$8,0),FALSE)</f>
        <v>2377</v>
      </c>
      <c r="B701">
        <v>26</v>
      </c>
      <c r="C701">
        <v>25</v>
      </c>
      <c r="D701">
        <v>150</v>
      </c>
      <c r="E701">
        <v>2</v>
      </c>
      <c r="F701" t="s">
        <v>136</v>
      </c>
      <c r="G701" t="s">
        <v>137</v>
      </c>
    </row>
    <row r="702" spans="1:7" x14ac:dyDescent="0.45">
      <c r="A702">
        <f>VLOOKUP(C702,'Field Layout'!$B$9:$AJ$35,MATCH(Index!B702,'Field Layout'!$B$8:$AJ$8,0),FALSE)</f>
        <v>2393</v>
      </c>
      <c r="B702">
        <v>26</v>
      </c>
      <c r="C702">
        <v>26</v>
      </c>
      <c r="D702">
        <v>150</v>
      </c>
      <c r="E702">
        <v>2</v>
      </c>
      <c r="F702" t="s">
        <v>662</v>
      </c>
      <c r="G702" t="s">
        <v>663</v>
      </c>
    </row>
    <row r="703" spans="1:7" x14ac:dyDescent="0.45">
      <c r="A703" t="str">
        <f>VLOOKUP(C703,'Field Layout'!$B$9:$AJ$35,MATCH(Index!B703,'Field Layout'!$B$8:$AJ$8,0),FALSE)</f>
        <v>Border</v>
      </c>
      <c r="B703">
        <v>26</v>
      </c>
      <c r="C703">
        <v>27</v>
      </c>
      <c r="D703">
        <v>150</v>
      </c>
      <c r="E703" t="s">
        <v>54</v>
      </c>
      <c r="F703" t="s">
        <v>92</v>
      </c>
      <c r="G703" t="s">
        <v>99</v>
      </c>
    </row>
    <row r="704" spans="1:7" x14ac:dyDescent="0.45">
      <c r="A704" t="str">
        <f>VLOOKUP(C704,'Field Layout'!$B$9:$AJ$35,MATCH(Index!B704,'Field Layout'!$B$8:$AJ$8,0),FALSE)</f>
        <v>Border</v>
      </c>
      <c r="B704">
        <v>27</v>
      </c>
      <c r="C704">
        <v>1</v>
      </c>
      <c r="D704">
        <v>150</v>
      </c>
      <c r="E704" t="s">
        <v>54</v>
      </c>
      <c r="F704" t="s">
        <v>92</v>
      </c>
      <c r="G704" t="s">
        <v>99</v>
      </c>
    </row>
    <row r="705" spans="1:7" x14ac:dyDescent="0.45">
      <c r="A705">
        <f>VLOOKUP(C705,'Field Layout'!$B$9:$AJ$35,MATCH(Index!B705,'Field Layout'!$B$8:$AJ$8,0),FALSE)</f>
        <v>2010</v>
      </c>
      <c r="B705">
        <v>27</v>
      </c>
      <c r="C705">
        <v>2</v>
      </c>
      <c r="D705">
        <v>150</v>
      </c>
      <c r="E705">
        <v>2</v>
      </c>
      <c r="F705" t="s">
        <v>454</v>
      </c>
      <c r="G705" t="s">
        <v>455</v>
      </c>
    </row>
    <row r="706" spans="1:7" x14ac:dyDescent="0.45">
      <c r="A706">
        <f>VLOOKUP(C706,'Field Layout'!$B$9:$AJ$35,MATCH(Index!B706,'Field Layout'!$B$8:$AJ$8,0),FALSE)</f>
        <v>2026</v>
      </c>
      <c r="B706">
        <v>27</v>
      </c>
      <c r="C706">
        <v>3</v>
      </c>
      <c r="D706">
        <v>150</v>
      </c>
      <c r="E706">
        <v>2</v>
      </c>
      <c r="F706" t="s">
        <v>318</v>
      </c>
      <c r="G706" t="s">
        <v>119</v>
      </c>
    </row>
    <row r="707" spans="1:7" x14ac:dyDescent="0.45">
      <c r="A707">
        <f>VLOOKUP(C707,'Field Layout'!$B$9:$AJ$35,MATCH(Index!B707,'Field Layout'!$B$8:$AJ$8,0),FALSE)</f>
        <v>2042</v>
      </c>
      <c r="B707">
        <v>27</v>
      </c>
      <c r="C707">
        <v>4</v>
      </c>
      <c r="D707">
        <v>150</v>
      </c>
      <c r="E707">
        <v>2</v>
      </c>
      <c r="F707" t="s">
        <v>319</v>
      </c>
      <c r="G707" t="s">
        <v>320</v>
      </c>
    </row>
    <row r="708" spans="1:7" x14ac:dyDescent="0.45">
      <c r="A708">
        <f>VLOOKUP(C708,'Field Layout'!$B$9:$AJ$35,MATCH(Index!B708,'Field Layout'!$B$8:$AJ$8,0),FALSE)</f>
        <v>2058</v>
      </c>
      <c r="B708">
        <v>27</v>
      </c>
      <c r="C708">
        <v>5</v>
      </c>
      <c r="D708">
        <v>150</v>
      </c>
      <c r="E708">
        <v>2</v>
      </c>
      <c r="F708" t="s">
        <v>580</v>
      </c>
      <c r="G708" t="s">
        <v>581</v>
      </c>
    </row>
    <row r="709" spans="1:7" x14ac:dyDescent="0.45">
      <c r="A709">
        <f>VLOOKUP(C709,'Field Layout'!$B$9:$AJ$35,MATCH(Index!B709,'Field Layout'!$B$8:$AJ$8,0),FALSE)</f>
        <v>2074</v>
      </c>
      <c r="B709">
        <v>27</v>
      </c>
      <c r="C709">
        <v>6</v>
      </c>
      <c r="D709">
        <v>150</v>
      </c>
      <c r="E709">
        <v>2</v>
      </c>
      <c r="F709" t="s">
        <v>474</v>
      </c>
      <c r="G709" t="s">
        <v>475</v>
      </c>
    </row>
    <row r="710" spans="1:7" x14ac:dyDescent="0.45">
      <c r="A710">
        <f>VLOOKUP(C710,'Field Layout'!$B$9:$AJ$35,MATCH(Index!B710,'Field Layout'!$B$8:$AJ$8,0),FALSE)</f>
        <v>2090</v>
      </c>
      <c r="B710">
        <v>27</v>
      </c>
      <c r="C710">
        <v>7</v>
      </c>
      <c r="D710">
        <v>150</v>
      </c>
      <c r="E710">
        <v>2</v>
      </c>
      <c r="F710" t="s">
        <v>552</v>
      </c>
      <c r="G710" t="s">
        <v>553</v>
      </c>
    </row>
    <row r="711" spans="1:7" x14ac:dyDescent="0.45">
      <c r="A711">
        <f>VLOOKUP(C711,'Field Layout'!$B$9:$AJ$35,MATCH(Index!B711,'Field Layout'!$B$8:$AJ$8,0),FALSE)</f>
        <v>2106</v>
      </c>
      <c r="B711">
        <v>27</v>
      </c>
      <c r="C711">
        <v>8</v>
      </c>
      <c r="D711">
        <v>150</v>
      </c>
      <c r="E711">
        <v>2</v>
      </c>
      <c r="F711" t="s">
        <v>118</v>
      </c>
      <c r="G711" t="s">
        <v>119</v>
      </c>
    </row>
    <row r="712" spans="1:7" x14ac:dyDescent="0.45">
      <c r="A712">
        <f>VLOOKUP(C712,'Field Layout'!$B$9:$AJ$35,MATCH(Index!B712,'Field Layout'!$B$8:$AJ$8,0),FALSE)</f>
        <v>2122</v>
      </c>
      <c r="B712">
        <v>27</v>
      </c>
      <c r="C712">
        <v>9</v>
      </c>
      <c r="D712">
        <v>150</v>
      </c>
      <c r="E712">
        <v>2</v>
      </c>
      <c r="F712" t="s">
        <v>118</v>
      </c>
      <c r="G712" t="s">
        <v>119</v>
      </c>
    </row>
    <row r="713" spans="1:7" x14ac:dyDescent="0.45">
      <c r="A713">
        <f>VLOOKUP(C713,'Field Layout'!$B$9:$AJ$35,MATCH(Index!B713,'Field Layout'!$B$8:$AJ$8,0),FALSE)</f>
        <v>2138</v>
      </c>
      <c r="B713">
        <v>27</v>
      </c>
      <c r="C713">
        <v>10</v>
      </c>
      <c r="D713">
        <v>150</v>
      </c>
      <c r="E713">
        <v>2</v>
      </c>
      <c r="F713" t="s">
        <v>122</v>
      </c>
      <c r="G713" t="s">
        <v>123</v>
      </c>
    </row>
    <row r="714" spans="1:7" x14ac:dyDescent="0.45">
      <c r="A714">
        <f>VLOOKUP(C714,'Field Layout'!$B$9:$AJ$35,MATCH(Index!B714,'Field Layout'!$B$8:$AJ$8,0),FALSE)</f>
        <v>2154</v>
      </c>
      <c r="B714">
        <v>27</v>
      </c>
      <c r="C714">
        <v>11</v>
      </c>
      <c r="D714">
        <v>150</v>
      </c>
      <c r="E714">
        <v>2</v>
      </c>
      <c r="F714" t="s">
        <v>293</v>
      </c>
      <c r="G714" t="s">
        <v>294</v>
      </c>
    </row>
    <row r="715" spans="1:7" x14ac:dyDescent="0.45">
      <c r="A715">
        <f>VLOOKUP(C715,'Field Layout'!$B$9:$AJ$35,MATCH(Index!B715,'Field Layout'!$B$8:$AJ$8,0),FALSE)</f>
        <v>2170</v>
      </c>
      <c r="B715">
        <v>27</v>
      </c>
      <c r="C715">
        <v>12</v>
      </c>
      <c r="D715">
        <v>150</v>
      </c>
      <c r="E715">
        <v>2</v>
      </c>
      <c r="F715" t="s">
        <v>118</v>
      </c>
      <c r="G715" t="s">
        <v>119</v>
      </c>
    </row>
    <row r="716" spans="1:7" x14ac:dyDescent="0.45">
      <c r="A716">
        <f>VLOOKUP(C716,'Field Layout'!$B$9:$AJ$35,MATCH(Index!B716,'Field Layout'!$B$8:$AJ$8,0),FALSE)</f>
        <v>2186</v>
      </c>
      <c r="B716">
        <v>27</v>
      </c>
      <c r="C716">
        <v>13</v>
      </c>
      <c r="D716">
        <v>150</v>
      </c>
      <c r="E716">
        <v>2</v>
      </c>
      <c r="F716" t="s">
        <v>678</v>
      </c>
      <c r="G716" t="s">
        <v>679</v>
      </c>
    </row>
    <row r="717" spans="1:7" x14ac:dyDescent="0.45">
      <c r="A717">
        <f>VLOOKUP(C717,'Field Layout'!$B$9:$AJ$35,MATCH(Index!B717,'Field Layout'!$B$8:$AJ$8,0),FALSE)</f>
        <v>2202</v>
      </c>
      <c r="B717">
        <v>27</v>
      </c>
      <c r="C717">
        <v>14</v>
      </c>
      <c r="D717">
        <v>150</v>
      </c>
      <c r="E717">
        <v>2</v>
      </c>
      <c r="F717" t="s">
        <v>412</v>
      </c>
      <c r="G717" t="s">
        <v>413</v>
      </c>
    </row>
    <row r="718" spans="1:7" x14ac:dyDescent="0.45">
      <c r="A718">
        <f>VLOOKUP(C718,'Field Layout'!$B$9:$AJ$35,MATCH(Index!B718,'Field Layout'!$B$8:$AJ$8,0),FALSE)</f>
        <v>2218</v>
      </c>
      <c r="B718">
        <v>27</v>
      </c>
      <c r="C718">
        <v>15</v>
      </c>
      <c r="D718">
        <v>150</v>
      </c>
      <c r="E718">
        <v>2</v>
      </c>
      <c r="F718" t="s">
        <v>118</v>
      </c>
      <c r="G718" t="s">
        <v>119</v>
      </c>
    </row>
    <row r="719" spans="1:7" x14ac:dyDescent="0.45">
      <c r="A719">
        <f>VLOOKUP(C719,'Field Layout'!$B$9:$AJ$35,MATCH(Index!B719,'Field Layout'!$B$8:$AJ$8,0),FALSE)</f>
        <v>2234</v>
      </c>
      <c r="B719">
        <v>27</v>
      </c>
      <c r="C719">
        <v>16</v>
      </c>
      <c r="D719">
        <v>150</v>
      </c>
      <c r="E719">
        <v>2</v>
      </c>
      <c r="F719" t="s">
        <v>716</v>
      </c>
      <c r="G719" t="s">
        <v>717</v>
      </c>
    </row>
    <row r="720" spans="1:7" x14ac:dyDescent="0.45">
      <c r="A720">
        <f>VLOOKUP(C720,'Field Layout'!$B$9:$AJ$35,MATCH(Index!B720,'Field Layout'!$B$8:$AJ$8,0),FALSE)</f>
        <v>2250</v>
      </c>
      <c r="B720">
        <v>27</v>
      </c>
      <c r="C720">
        <v>17</v>
      </c>
      <c r="D720">
        <v>150</v>
      </c>
      <c r="E720">
        <v>2</v>
      </c>
      <c r="F720" t="s">
        <v>684</v>
      </c>
      <c r="G720" t="s">
        <v>685</v>
      </c>
    </row>
    <row r="721" spans="1:7" x14ac:dyDescent="0.45">
      <c r="A721">
        <f>VLOOKUP(C721,'Field Layout'!$B$9:$AJ$35,MATCH(Index!B721,'Field Layout'!$B$8:$AJ$8,0),FALSE)</f>
        <v>2266</v>
      </c>
      <c r="B721">
        <v>27</v>
      </c>
      <c r="C721">
        <v>18</v>
      </c>
      <c r="D721">
        <v>150</v>
      </c>
      <c r="E721">
        <v>2</v>
      </c>
      <c r="F721" t="s">
        <v>529</v>
      </c>
      <c r="G721" t="s">
        <v>530</v>
      </c>
    </row>
    <row r="722" spans="1:7" x14ac:dyDescent="0.45">
      <c r="A722">
        <f>VLOOKUP(C722,'Field Layout'!$B$9:$AJ$35,MATCH(Index!B722,'Field Layout'!$B$8:$AJ$8,0),FALSE)</f>
        <v>2282</v>
      </c>
      <c r="B722">
        <v>27</v>
      </c>
      <c r="C722">
        <v>19</v>
      </c>
      <c r="D722">
        <v>150</v>
      </c>
      <c r="E722">
        <v>2</v>
      </c>
      <c r="F722" t="s">
        <v>618</v>
      </c>
      <c r="G722" t="s">
        <v>619</v>
      </c>
    </row>
    <row r="723" spans="1:7" x14ac:dyDescent="0.45">
      <c r="A723">
        <f>VLOOKUP(C723,'Field Layout'!$B$9:$AJ$35,MATCH(Index!B723,'Field Layout'!$B$8:$AJ$8,0),FALSE)</f>
        <v>2298</v>
      </c>
      <c r="B723">
        <v>27</v>
      </c>
      <c r="C723">
        <v>20</v>
      </c>
      <c r="D723">
        <v>150</v>
      </c>
      <c r="E723">
        <v>2</v>
      </c>
      <c r="F723" t="s">
        <v>394</v>
      </c>
      <c r="G723" t="s">
        <v>395</v>
      </c>
    </row>
    <row r="724" spans="1:7" x14ac:dyDescent="0.45">
      <c r="A724">
        <f>VLOOKUP(C724,'Field Layout'!$B$9:$AJ$35,MATCH(Index!B724,'Field Layout'!$B$8:$AJ$8,0),FALSE)</f>
        <v>2314</v>
      </c>
      <c r="B724">
        <v>27</v>
      </c>
      <c r="C724">
        <v>21</v>
      </c>
      <c r="D724">
        <v>150</v>
      </c>
      <c r="E724">
        <v>2</v>
      </c>
      <c r="F724" t="s">
        <v>610</v>
      </c>
      <c r="G724" t="s">
        <v>611</v>
      </c>
    </row>
    <row r="725" spans="1:7" x14ac:dyDescent="0.45">
      <c r="A725">
        <f>VLOOKUP(C725,'Field Layout'!$B$9:$AJ$35,MATCH(Index!B725,'Field Layout'!$B$8:$AJ$8,0),FALSE)</f>
        <v>2330</v>
      </c>
      <c r="B725">
        <v>27</v>
      </c>
      <c r="C725">
        <v>22</v>
      </c>
      <c r="D725">
        <v>150</v>
      </c>
      <c r="E725">
        <v>2</v>
      </c>
      <c r="F725" t="s">
        <v>267</v>
      </c>
      <c r="G725" t="s">
        <v>268</v>
      </c>
    </row>
    <row r="726" spans="1:7" x14ac:dyDescent="0.45">
      <c r="A726">
        <f>VLOOKUP(C726,'Field Layout'!$B$9:$AJ$35,MATCH(Index!B726,'Field Layout'!$B$8:$AJ$8,0),FALSE)</f>
        <v>2346</v>
      </c>
      <c r="B726">
        <v>27</v>
      </c>
      <c r="C726">
        <v>23</v>
      </c>
      <c r="D726">
        <v>150</v>
      </c>
      <c r="E726">
        <v>2</v>
      </c>
      <c r="F726" t="s">
        <v>118</v>
      </c>
      <c r="G726" t="s">
        <v>119</v>
      </c>
    </row>
    <row r="727" spans="1:7" x14ac:dyDescent="0.45">
      <c r="A727">
        <f>VLOOKUP(C727,'Field Layout'!$B$9:$AJ$35,MATCH(Index!B727,'Field Layout'!$B$8:$AJ$8,0),FALSE)</f>
        <v>2362</v>
      </c>
      <c r="B727">
        <v>27</v>
      </c>
      <c r="C727">
        <v>24</v>
      </c>
      <c r="D727">
        <v>150</v>
      </c>
      <c r="E727">
        <v>2</v>
      </c>
      <c r="F727" t="s">
        <v>616</v>
      </c>
      <c r="G727" t="s">
        <v>617</v>
      </c>
    </row>
    <row r="728" spans="1:7" x14ac:dyDescent="0.45">
      <c r="A728">
        <f>VLOOKUP(C728,'Field Layout'!$B$9:$AJ$35,MATCH(Index!B728,'Field Layout'!$B$8:$AJ$8,0),FALSE)</f>
        <v>2378</v>
      </c>
      <c r="B728">
        <v>27</v>
      </c>
      <c r="C728">
        <v>25</v>
      </c>
      <c r="D728">
        <v>150</v>
      </c>
      <c r="E728">
        <v>2</v>
      </c>
      <c r="F728" t="s">
        <v>572</v>
      </c>
      <c r="G728" t="s">
        <v>573</v>
      </c>
    </row>
    <row r="729" spans="1:7" x14ac:dyDescent="0.45">
      <c r="A729">
        <f>VLOOKUP(C729,'Field Layout'!$B$9:$AJ$35,MATCH(Index!B729,'Field Layout'!$B$8:$AJ$8,0),FALSE)</f>
        <v>2394</v>
      </c>
      <c r="B729">
        <v>27</v>
      </c>
      <c r="C729">
        <v>26</v>
      </c>
      <c r="D729">
        <v>150</v>
      </c>
      <c r="E729">
        <v>2</v>
      </c>
      <c r="F729" t="s">
        <v>524</v>
      </c>
      <c r="G729" t="s">
        <v>525</v>
      </c>
    </row>
    <row r="730" spans="1:7" x14ac:dyDescent="0.45">
      <c r="A730" t="str">
        <f>VLOOKUP(C730,'Field Layout'!$B$9:$AJ$35,MATCH(Index!B730,'Field Layout'!$B$8:$AJ$8,0),FALSE)</f>
        <v>Border</v>
      </c>
      <c r="B730">
        <v>27</v>
      </c>
      <c r="C730">
        <v>27</v>
      </c>
      <c r="D730">
        <v>150</v>
      </c>
      <c r="E730" t="s">
        <v>54</v>
      </c>
      <c r="F730" t="s">
        <v>92</v>
      </c>
      <c r="G730" t="s">
        <v>99</v>
      </c>
    </row>
    <row r="731" spans="1:7" x14ac:dyDescent="0.45">
      <c r="A731" t="str">
        <f>VLOOKUP(C731,'Field Layout'!$B$9:$AJ$35,MATCH(Index!B731,'Field Layout'!$B$8:$AJ$8,0),FALSE)</f>
        <v>Border</v>
      </c>
      <c r="B731">
        <v>28</v>
      </c>
      <c r="C731">
        <v>1</v>
      </c>
      <c r="D731">
        <v>150</v>
      </c>
      <c r="E731" t="s">
        <v>54</v>
      </c>
      <c r="F731" t="s">
        <v>92</v>
      </c>
      <c r="G731" t="s">
        <v>99</v>
      </c>
    </row>
    <row r="732" spans="1:7" x14ac:dyDescent="0.45">
      <c r="A732">
        <f>VLOOKUP(C732,'Field Layout'!$B$9:$AJ$35,MATCH(Index!B732,'Field Layout'!$B$8:$AJ$8,0),FALSE)</f>
        <v>2011</v>
      </c>
      <c r="B732">
        <v>28</v>
      </c>
      <c r="C732">
        <v>2</v>
      </c>
      <c r="D732">
        <v>150</v>
      </c>
      <c r="E732">
        <v>2</v>
      </c>
      <c r="F732" t="s">
        <v>540</v>
      </c>
      <c r="G732" t="s">
        <v>541</v>
      </c>
    </row>
    <row r="733" spans="1:7" x14ac:dyDescent="0.45">
      <c r="A733">
        <f>VLOOKUP(C733,'Field Layout'!$B$9:$AJ$35,MATCH(Index!B733,'Field Layout'!$B$8:$AJ$8,0),FALSE)</f>
        <v>2027</v>
      </c>
      <c r="B733">
        <v>28</v>
      </c>
      <c r="C733">
        <v>3</v>
      </c>
      <c r="D733">
        <v>150</v>
      </c>
      <c r="E733">
        <v>2</v>
      </c>
      <c r="F733" t="s">
        <v>802</v>
      </c>
      <c r="G733" t="s">
        <v>803</v>
      </c>
    </row>
    <row r="734" spans="1:7" x14ac:dyDescent="0.45">
      <c r="A734">
        <f>VLOOKUP(C734,'Field Layout'!$B$9:$AJ$35,MATCH(Index!B734,'Field Layout'!$B$8:$AJ$8,0),FALSE)</f>
        <v>2043</v>
      </c>
      <c r="B734">
        <v>28</v>
      </c>
      <c r="C734">
        <v>4</v>
      </c>
      <c r="D734">
        <v>150</v>
      </c>
      <c r="E734">
        <v>2</v>
      </c>
      <c r="F734" t="s">
        <v>277</v>
      </c>
      <c r="G734" t="s">
        <v>278</v>
      </c>
    </row>
    <row r="735" spans="1:7" x14ac:dyDescent="0.45">
      <c r="A735">
        <f>VLOOKUP(C735,'Field Layout'!$B$9:$AJ$35,MATCH(Index!B735,'Field Layout'!$B$8:$AJ$8,0),FALSE)</f>
        <v>2059</v>
      </c>
      <c r="B735">
        <v>28</v>
      </c>
      <c r="C735">
        <v>5</v>
      </c>
      <c r="D735">
        <v>150</v>
      </c>
      <c r="E735">
        <v>2</v>
      </c>
      <c r="F735" t="s">
        <v>316</v>
      </c>
      <c r="G735" t="s">
        <v>317</v>
      </c>
    </row>
    <row r="736" spans="1:7" x14ac:dyDescent="0.45">
      <c r="A736">
        <f>VLOOKUP(C736,'Field Layout'!$B$9:$AJ$35,MATCH(Index!B736,'Field Layout'!$B$8:$AJ$8,0),FALSE)</f>
        <v>2075</v>
      </c>
      <c r="B736">
        <v>28</v>
      </c>
      <c r="C736">
        <v>6</v>
      </c>
      <c r="D736">
        <v>150</v>
      </c>
      <c r="E736">
        <v>2</v>
      </c>
      <c r="F736" t="s">
        <v>157</v>
      </c>
      <c r="G736" t="s">
        <v>158</v>
      </c>
    </row>
    <row r="737" spans="1:7" x14ac:dyDescent="0.45">
      <c r="A737">
        <f>VLOOKUP(C737,'Field Layout'!$B$9:$AJ$35,MATCH(Index!B737,'Field Layout'!$B$8:$AJ$8,0),FALSE)</f>
        <v>2091</v>
      </c>
      <c r="B737">
        <v>28</v>
      </c>
      <c r="C737">
        <v>7</v>
      </c>
      <c r="D737">
        <v>150</v>
      </c>
      <c r="E737">
        <v>2</v>
      </c>
      <c r="F737" t="s">
        <v>205</v>
      </c>
      <c r="G737" t="s">
        <v>206</v>
      </c>
    </row>
    <row r="738" spans="1:7" x14ac:dyDescent="0.45">
      <c r="A738">
        <f>VLOOKUP(C738,'Field Layout'!$B$9:$AJ$35,MATCH(Index!B738,'Field Layout'!$B$8:$AJ$8,0),FALSE)</f>
        <v>2107</v>
      </c>
      <c r="B738">
        <v>28</v>
      </c>
      <c r="C738">
        <v>8</v>
      </c>
      <c r="D738">
        <v>150</v>
      </c>
      <c r="E738">
        <v>2</v>
      </c>
      <c r="F738" t="s">
        <v>550</v>
      </c>
      <c r="G738" t="s">
        <v>551</v>
      </c>
    </row>
    <row r="739" spans="1:7" x14ac:dyDescent="0.45">
      <c r="A739">
        <f>VLOOKUP(C739,'Field Layout'!$B$9:$AJ$35,MATCH(Index!B739,'Field Layout'!$B$8:$AJ$8,0),FALSE)</f>
        <v>2123</v>
      </c>
      <c r="B739">
        <v>28</v>
      </c>
      <c r="C739">
        <v>9</v>
      </c>
      <c r="D739">
        <v>150</v>
      </c>
      <c r="E739">
        <v>2</v>
      </c>
      <c r="F739" t="s">
        <v>692</v>
      </c>
      <c r="G739" t="s">
        <v>693</v>
      </c>
    </row>
    <row r="740" spans="1:7" x14ac:dyDescent="0.45">
      <c r="A740">
        <f>VLOOKUP(C740,'Field Layout'!$B$9:$AJ$35,MATCH(Index!B740,'Field Layout'!$B$8:$AJ$8,0),FALSE)</f>
        <v>2139</v>
      </c>
      <c r="B740">
        <v>28</v>
      </c>
      <c r="C740">
        <v>10</v>
      </c>
      <c r="D740">
        <v>150</v>
      </c>
      <c r="E740">
        <v>2</v>
      </c>
      <c r="F740" t="s">
        <v>690</v>
      </c>
      <c r="G740" t="s">
        <v>691</v>
      </c>
    </row>
    <row r="741" spans="1:7" x14ac:dyDescent="0.45">
      <c r="A741">
        <f>VLOOKUP(C741,'Field Layout'!$B$9:$AJ$35,MATCH(Index!B741,'Field Layout'!$B$8:$AJ$8,0),FALSE)</f>
        <v>2155</v>
      </c>
      <c r="B741">
        <v>28</v>
      </c>
      <c r="C741">
        <v>11</v>
      </c>
      <c r="D741">
        <v>150</v>
      </c>
      <c r="E741">
        <v>2</v>
      </c>
      <c r="F741" t="s">
        <v>283</v>
      </c>
      <c r="G741" t="s">
        <v>284</v>
      </c>
    </row>
    <row r="742" spans="1:7" x14ac:dyDescent="0.45">
      <c r="A742">
        <f>VLOOKUP(C742,'Field Layout'!$B$9:$AJ$35,MATCH(Index!B742,'Field Layout'!$B$8:$AJ$8,0),FALSE)</f>
        <v>2171</v>
      </c>
      <c r="B742">
        <v>28</v>
      </c>
      <c r="C742">
        <v>12</v>
      </c>
      <c r="D742">
        <v>150</v>
      </c>
      <c r="E742">
        <v>2</v>
      </c>
      <c r="F742" t="s">
        <v>325</v>
      </c>
      <c r="G742" t="s">
        <v>326</v>
      </c>
    </row>
    <row r="743" spans="1:7" x14ac:dyDescent="0.45">
      <c r="A743">
        <f>VLOOKUP(C743,'Field Layout'!$B$9:$AJ$35,MATCH(Index!B743,'Field Layout'!$B$8:$AJ$8,0),FALSE)</f>
        <v>2187</v>
      </c>
      <c r="B743">
        <v>28</v>
      </c>
      <c r="C743">
        <v>13</v>
      </c>
      <c r="D743">
        <v>150</v>
      </c>
      <c r="E743">
        <v>2</v>
      </c>
      <c r="F743" t="s">
        <v>456</v>
      </c>
      <c r="G743" t="s">
        <v>457</v>
      </c>
    </row>
    <row r="744" spans="1:7" x14ac:dyDescent="0.45">
      <c r="A744">
        <f>VLOOKUP(C744,'Field Layout'!$B$9:$AJ$35,MATCH(Index!B744,'Field Layout'!$B$8:$AJ$8,0),FALSE)</f>
        <v>2203</v>
      </c>
      <c r="B744">
        <v>28</v>
      </c>
      <c r="C744">
        <v>14</v>
      </c>
      <c r="D744">
        <v>150</v>
      </c>
      <c r="E744">
        <v>2</v>
      </c>
      <c r="F744" t="s">
        <v>590</v>
      </c>
      <c r="G744" t="s">
        <v>591</v>
      </c>
    </row>
    <row r="745" spans="1:7" x14ac:dyDescent="0.45">
      <c r="A745">
        <f>VLOOKUP(C745,'Field Layout'!$B$9:$AJ$35,MATCH(Index!B745,'Field Layout'!$B$8:$AJ$8,0),FALSE)</f>
        <v>2219</v>
      </c>
      <c r="B745">
        <v>28</v>
      </c>
      <c r="C745">
        <v>15</v>
      </c>
      <c r="D745">
        <v>150</v>
      </c>
      <c r="E745">
        <v>2</v>
      </c>
      <c r="F745" t="s">
        <v>245</v>
      </c>
      <c r="G745" t="s">
        <v>246</v>
      </c>
    </row>
    <row r="746" spans="1:7" x14ac:dyDescent="0.45">
      <c r="A746">
        <f>VLOOKUP(C746,'Field Layout'!$B$9:$AJ$35,MATCH(Index!B746,'Field Layout'!$B$8:$AJ$8,0),FALSE)</f>
        <v>2235</v>
      </c>
      <c r="B746">
        <v>28</v>
      </c>
      <c r="C746">
        <v>16</v>
      </c>
      <c r="D746">
        <v>150</v>
      </c>
      <c r="E746">
        <v>2</v>
      </c>
      <c r="F746" t="s">
        <v>291</v>
      </c>
      <c r="G746" t="s">
        <v>292</v>
      </c>
    </row>
    <row r="747" spans="1:7" x14ac:dyDescent="0.45">
      <c r="A747">
        <f>VLOOKUP(C747,'Field Layout'!$B$9:$AJ$35,MATCH(Index!B747,'Field Layout'!$B$8:$AJ$8,0),FALSE)</f>
        <v>2251</v>
      </c>
      <c r="B747">
        <v>28</v>
      </c>
      <c r="C747">
        <v>17</v>
      </c>
      <c r="D747">
        <v>150</v>
      </c>
      <c r="E747">
        <v>2</v>
      </c>
      <c r="F747" t="s">
        <v>498</v>
      </c>
      <c r="G747" t="s">
        <v>499</v>
      </c>
    </row>
    <row r="748" spans="1:7" x14ac:dyDescent="0.45">
      <c r="A748">
        <f>VLOOKUP(C748,'Field Layout'!$B$9:$AJ$35,MATCH(Index!B748,'Field Layout'!$B$8:$AJ$8,0),FALSE)</f>
        <v>2267</v>
      </c>
      <c r="B748">
        <v>28</v>
      </c>
      <c r="C748">
        <v>18</v>
      </c>
      <c r="D748">
        <v>150</v>
      </c>
      <c r="E748">
        <v>2</v>
      </c>
      <c r="F748" t="s">
        <v>434</v>
      </c>
      <c r="G748" t="s">
        <v>435</v>
      </c>
    </row>
    <row r="749" spans="1:7" x14ac:dyDescent="0.45">
      <c r="A749">
        <f>VLOOKUP(C749,'Field Layout'!$B$9:$AJ$35,MATCH(Index!B749,'Field Layout'!$B$8:$AJ$8,0),FALSE)</f>
        <v>2283</v>
      </c>
      <c r="B749">
        <v>28</v>
      </c>
      <c r="C749">
        <v>19</v>
      </c>
      <c r="D749">
        <v>150</v>
      </c>
      <c r="E749">
        <v>2</v>
      </c>
      <c r="F749" t="s">
        <v>696</v>
      </c>
      <c r="G749" t="s">
        <v>697</v>
      </c>
    </row>
    <row r="750" spans="1:7" x14ac:dyDescent="0.45">
      <c r="A750">
        <f>VLOOKUP(C750,'Field Layout'!$B$9:$AJ$35,MATCH(Index!B750,'Field Layout'!$B$8:$AJ$8,0),FALSE)</f>
        <v>2299</v>
      </c>
      <c r="B750">
        <v>28</v>
      </c>
      <c r="C750">
        <v>20</v>
      </c>
      <c r="D750">
        <v>150</v>
      </c>
      <c r="E750">
        <v>2</v>
      </c>
      <c r="F750" t="s">
        <v>217</v>
      </c>
      <c r="G750" t="s">
        <v>218</v>
      </c>
    </row>
    <row r="751" spans="1:7" x14ac:dyDescent="0.45">
      <c r="A751">
        <f>VLOOKUP(C751,'Field Layout'!$B$9:$AJ$35,MATCH(Index!B751,'Field Layout'!$B$8:$AJ$8,0),FALSE)</f>
        <v>2315</v>
      </c>
      <c r="B751">
        <v>28</v>
      </c>
      <c r="C751">
        <v>21</v>
      </c>
      <c r="D751">
        <v>150</v>
      </c>
      <c r="E751">
        <v>2</v>
      </c>
      <c r="F751" t="s">
        <v>535</v>
      </c>
      <c r="G751" t="s">
        <v>536</v>
      </c>
    </row>
    <row r="752" spans="1:7" x14ac:dyDescent="0.45">
      <c r="A752">
        <f>VLOOKUP(C752,'Field Layout'!$B$9:$AJ$35,MATCH(Index!B752,'Field Layout'!$B$8:$AJ$8,0),FALSE)</f>
        <v>2331</v>
      </c>
      <c r="B752">
        <v>28</v>
      </c>
      <c r="C752">
        <v>22</v>
      </c>
      <c r="D752">
        <v>150</v>
      </c>
      <c r="E752">
        <v>2</v>
      </c>
      <c r="F752" t="s">
        <v>130</v>
      </c>
      <c r="G752" t="s">
        <v>131</v>
      </c>
    </row>
    <row r="753" spans="1:7" x14ac:dyDescent="0.45">
      <c r="A753">
        <f>VLOOKUP(C753,'Field Layout'!$B$9:$AJ$35,MATCH(Index!B753,'Field Layout'!$B$8:$AJ$8,0),FALSE)</f>
        <v>2347</v>
      </c>
      <c r="B753">
        <v>28</v>
      </c>
      <c r="C753">
        <v>23</v>
      </c>
      <c r="D753">
        <v>150</v>
      </c>
      <c r="E753">
        <v>2</v>
      </c>
      <c r="F753" t="s">
        <v>694</v>
      </c>
      <c r="G753" t="s">
        <v>695</v>
      </c>
    </row>
    <row r="754" spans="1:7" x14ac:dyDescent="0.45">
      <c r="A754">
        <f>VLOOKUP(C754,'Field Layout'!$B$9:$AJ$35,MATCH(Index!B754,'Field Layout'!$B$8:$AJ$8,0),FALSE)</f>
        <v>2363</v>
      </c>
      <c r="B754">
        <v>28</v>
      </c>
      <c r="C754">
        <v>24</v>
      </c>
      <c r="D754">
        <v>150</v>
      </c>
      <c r="E754">
        <v>2</v>
      </c>
      <c r="F754" t="s">
        <v>750</v>
      </c>
      <c r="G754" t="s">
        <v>751</v>
      </c>
    </row>
    <row r="755" spans="1:7" x14ac:dyDescent="0.45">
      <c r="A755">
        <f>VLOOKUP(C755,'Field Layout'!$B$9:$AJ$35,MATCH(Index!B755,'Field Layout'!$B$8:$AJ$8,0),FALSE)</f>
        <v>2379</v>
      </c>
      <c r="B755">
        <v>28</v>
      </c>
      <c r="C755">
        <v>25</v>
      </c>
      <c r="D755">
        <v>150</v>
      </c>
      <c r="E755">
        <v>2</v>
      </c>
      <c r="F755" t="s">
        <v>752</v>
      </c>
      <c r="G755" t="s">
        <v>753</v>
      </c>
    </row>
    <row r="756" spans="1:7" x14ac:dyDescent="0.45">
      <c r="A756">
        <f>VLOOKUP(C756,'Field Layout'!$B$9:$AJ$35,MATCH(Index!B756,'Field Layout'!$B$8:$AJ$8,0),FALSE)</f>
        <v>2395</v>
      </c>
      <c r="B756">
        <v>28</v>
      </c>
      <c r="C756">
        <v>26</v>
      </c>
      <c r="D756">
        <v>150</v>
      </c>
      <c r="E756">
        <v>2</v>
      </c>
      <c r="F756" t="s">
        <v>307</v>
      </c>
      <c r="G756" t="s">
        <v>119</v>
      </c>
    </row>
    <row r="757" spans="1:7" x14ac:dyDescent="0.45">
      <c r="A757" t="str">
        <f>VLOOKUP(C757,'Field Layout'!$B$9:$AJ$35,MATCH(Index!B757,'Field Layout'!$B$8:$AJ$8,0),FALSE)</f>
        <v>Border</v>
      </c>
      <c r="B757">
        <v>28</v>
      </c>
      <c r="C757">
        <v>27</v>
      </c>
      <c r="D757">
        <v>150</v>
      </c>
      <c r="E757" t="s">
        <v>54</v>
      </c>
      <c r="F757" t="s">
        <v>92</v>
      </c>
      <c r="G757" t="s">
        <v>99</v>
      </c>
    </row>
    <row r="758" spans="1:7" x14ac:dyDescent="0.45">
      <c r="A758" t="str">
        <f>VLOOKUP(C758,'Field Layout'!$B$9:$AJ$35,MATCH(Index!B758,'Field Layout'!$B$8:$AJ$8,0),FALSE)</f>
        <v>Border</v>
      </c>
      <c r="B758">
        <v>29</v>
      </c>
      <c r="C758">
        <v>1</v>
      </c>
      <c r="D758">
        <v>150</v>
      </c>
      <c r="E758" t="s">
        <v>54</v>
      </c>
      <c r="F758" t="s">
        <v>92</v>
      </c>
      <c r="G758" t="s">
        <v>99</v>
      </c>
    </row>
    <row r="759" spans="1:7" x14ac:dyDescent="0.45">
      <c r="A759">
        <f>VLOOKUP(C759,'Field Layout'!$B$9:$AJ$35,MATCH(Index!B759,'Field Layout'!$B$8:$AJ$8,0),FALSE)</f>
        <v>2012</v>
      </c>
      <c r="B759">
        <v>29</v>
      </c>
      <c r="C759">
        <v>2</v>
      </c>
      <c r="D759">
        <v>150</v>
      </c>
      <c r="E759">
        <v>2</v>
      </c>
      <c r="F759" t="s">
        <v>712</v>
      </c>
      <c r="G759" t="s">
        <v>713</v>
      </c>
    </row>
    <row r="760" spans="1:7" x14ac:dyDescent="0.45">
      <c r="A760">
        <f>VLOOKUP(C760,'Field Layout'!$B$9:$AJ$35,MATCH(Index!B760,'Field Layout'!$B$8:$AJ$8,0),FALSE)</f>
        <v>2028</v>
      </c>
      <c r="B760">
        <v>29</v>
      </c>
      <c r="C760">
        <v>3</v>
      </c>
      <c r="D760">
        <v>150</v>
      </c>
      <c r="E760">
        <v>2</v>
      </c>
      <c r="F760" t="s">
        <v>118</v>
      </c>
      <c r="G760" t="s">
        <v>119</v>
      </c>
    </row>
    <row r="761" spans="1:7" x14ac:dyDescent="0.45">
      <c r="A761">
        <f>VLOOKUP(C761,'Field Layout'!$B$9:$AJ$35,MATCH(Index!B761,'Field Layout'!$B$8:$AJ$8,0),FALSE)</f>
        <v>2044</v>
      </c>
      <c r="B761">
        <v>29</v>
      </c>
      <c r="C761">
        <v>4</v>
      </c>
      <c r="D761">
        <v>150</v>
      </c>
      <c r="E761">
        <v>2</v>
      </c>
      <c r="F761" t="s">
        <v>493</v>
      </c>
      <c r="G761" t="s">
        <v>494</v>
      </c>
    </row>
    <row r="762" spans="1:7" x14ac:dyDescent="0.45">
      <c r="A762">
        <f>VLOOKUP(C762,'Field Layout'!$B$9:$AJ$35,MATCH(Index!B762,'Field Layout'!$B$8:$AJ$8,0),FALSE)</f>
        <v>2060</v>
      </c>
      <c r="B762">
        <v>29</v>
      </c>
      <c r="C762">
        <v>5</v>
      </c>
      <c r="D762">
        <v>150</v>
      </c>
      <c r="E762">
        <v>2</v>
      </c>
      <c r="F762" t="s">
        <v>161</v>
      </c>
      <c r="G762" t="s">
        <v>162</v>
      </c>
    </row>
    <row r="763" spans="1:7" x14ac:dyDescent="0.45">
      <c r="A763">
        <f>VLOOKUP(C763,'Field Layout'!$B$9:$AJ$35,MATCH(Index!B763,'Field Layout'!$B$8:$AJ$8,0),FALSE)</f>
        <v>2076</v>
      </c>
      <c r="B763">
        <v>29</v>
      </c>
      <c r="C763">
        <v>6</v>
      </c>
      <c r="D763">
        <v>150</v>
      </c>
      <c r="E763">
        <v>2</v>
      </c>
      <c r="F763" t="s">
        <v>646</v>
      </c>
      <c r="G763" t="s">
        <v>647</v>
      </c>
    </row>
    <row r="764" spans="1:7" x14ac:dyDescent="0.45">
      <c r="A764">
        <f>VLOOKUP(C764,'Field Layout'!$B$9:$AJ$35,MATCH(Index!B764,'Field Layout'!$B$8:$AJ$8,0),FALSE)</f>
        <v>2092</v>
      </c>
      <c r="B764">
        <v>29</v>
      </c>
      <c r="C764">
        <v>7</v>
      </c>
      <c r="D764">
        <v>150</v>
      </c>
      <c r="E764">
        <v>2</v>
      </c>
      <c r="F764" t="s">
        <v>516</v>
      </c>
      <c r="G764" t="s">
        <v>517</v>
      </c>
    </row>
    <row r="765" spans="1:7" x14ac:dyDescent="0.45">
      <c r="A765">
        <f>VLOOKUP(C765,'Field Layout'!$B$9:$AJ$35,MATCH(Index!B765,'Field Layout'!$B$8:$AJ$8,0),FALSE)</f>
        <v>2108</v>
      </c>
      <c r="B765">
        <v>29</v>
      </c>
      <c r="C765">
        <v>8</v>
      </c>
      <c r="D765">
        <v>150</v>
      </c>
      <c r="E765">
        <v>2</v>
      </c>
      <c r="F765" t="s">
        <v>774</v>
      </c>
      <c r="G765" t="s">
        <v>775</v>
      </c>
    </row>
    <row r="766" spans="1:7" x14ac:dyDescent="0.45">
      <c r="A766">
        <f>VLOOKUP(C766,'Field Layout'!$B$9:$AJ$35,MATCH(Index!B766,'Field Layout'!$B$8:$AJ$8,0),FALSE)</f>
        <v>2124</v>
      </c>
      <c r="B766">
        <v>29</v>
      </c>
      <c r="C766">
        <v>9</v>
      </c>
      <c r="D766">
        <v>150</v>
      </c>
      <c r="E766">
        <v>2</v>
      </c>
      <c r="F766" t="s">
        <v>343</v>
      </c>
      <c r="G766" t="s">
        <v>344</v>
      </c>
    </row>
    <row r="767" spans="1:7" x14ac:dyDescent="0.45">
      <c r="A767">
        <f>VLOOKUP(C767,'Field Layout'!$B$9:$AJ$35,MATCH(Index!B767,'Field Layout'!$B$8:$AJ$8,0),FALSE)</f>
        <v>2140</v>
      </c>
      <c r="B767">
        <v>29</v>
      </c>
      <c r="C767">
        <v>10</v>
      </c>
      <c r="D767">
        <v>150</v>
      </c>
      <c r="E767">
        <v>2</v>
      </c>
      <c r="F767" t="s">
        <v>556</v>
      </c>
      <c r="G767" t="s">
        <v>557</v>
      </c>
    </row>
    <row r="768" spans="1:7" x14ac:dyDescent="0.45">
      <c r="A768">
        <f>VLOOKUP(C768,'Field Layout'!$B$9:$AJ$35,MATCH(Index!B768,'Field Layout'!$B$8:$AJ$8,0),FALSE)</f>
        <v>2156</v>
      </c>
      <c r="B768">
        <v>29</v>
      </c>
      <c r="C768">
        <v>11</v>
      </c>
      <c r="D768">
        <v>150</v>
      </c>
      <c r="E768">
        <v>2</v>
      </c>
      <c r="F768" t="s">
        <v>460</v>
      </c>
      <c r="G768" t="s">
        <v>461</v>
      </c>
    </row>
    <row r="769" spans="1:7" x14ac:dyDescent="0.45">
      <c r="A769">
        <f>VLOOKUP(C769,'Field Layout'!$B$9:$AJ$35,MATCH(Index!B769,'Field Layout'!$B$8:$AJ$8,0),FALSE)</f>
        <v>2172</v>
      </c>
      <c r="B769">
        <v>29</v>
      </c>
      <c r="C769">
        <v>12</v>
      </c>
      <c r="D769">
        <v>150</v>
      </c>
      <c r="E769">
        <v>2</v>
      </c>
      <c r="F769" t="s">
        <v>195</v>
      </c>
      <c r="G769" t="s">
        <v>196</v>
      </c>
    </row>
    <row r="770" spans="1:7" x14ac:dyDescent="0.45">
      <c r="A770">
        <f>VLOOKUP(C770,'Field Layout'!$B$9:$AJ$35,MATCH(Index!B770,'Field Layout'!$B$8:$AJ$8,0),FALSE)</f>
        <v>2188</v>
      </c>
      <c r="B770">
        <v>29</v>
      </c>
      <c r="C770">
        <v>13</v>
      </c>
      <c r="D770">
        <v>150</v>
      </c>
      <c r="E770">
        <v>2</v>
      </c>
      <c r="F770" t="s">
        <v>592</v>
      </c>
      <c r="G770" t="s">
        <v>593</v>
      </c>
    </row>
    <row r="771" spans="1:7" x14ac:dyDescent="0.45">
      <c r="A771">
        <f>VLOOKUP(C771,'Field Layout'!$B$9:$AJ$35,MATCH(Index!B771,'Field Layout'!$B$8:$AJ$8,0),FALSE)</f>
        <v>2204</v>
      </c>
      <c r="B771">
        <v>29</v>
      </c>
      <c r="C771">
        <v>14</v>
      </c>
      <c r="D771">
        <v>150</v>
      </c>
      <c r="E771">
        <v>2</v>
      </c>
      <c r="F771" t="s">
        <v>333</v>
      </c>
      <c r="G771" t="s">
        <v>334</v>
      </c>
    </row>
    <row r="772" spans="1:7" x14ac:dyDescent="0.45">
      <c r="A772">
        <f>VLOOKUP(C772,'Field Layout'!$B$9:$AJ$35,MATCH(Index!B772,'Field Layout'!$B$8:$AJ$8,0),FALSE)</f>
        <v>2220</v>
      </c>
      <c r="B772">
        <v>29</v>
      </c>
      <c r="C772">
        <v>15</v>
      </c>
      <c r="D772">
        <v>150</v>
      </c>
      <c r="E772">
        <v>2</v>
      </c>
      <c r="F772" t="s">
        <v>287</v>
      </c>
      <c r="G772" t="s">
        <v>288</v>
      </c>
    </row>
    <row r="773" spans="1:7" x14ac:dyDescent="0.45">
      <c r="A773">
        <f>VLOOKUP(C773,'Field Layout'!$B$9:$AJ$35,MATCH(Index!B773,'Field Layout'!$B$8:$AJ$8,0),FALSE)</f>
        <v>2236</v>
      </c>
      <c r="B773">
        <v>29</v>
      </c>
      <c r="C773">
        <v>16</v>
      </c>
      <c r="D773">
        <v>150</v>
      </c>
      <c r="E773">
        <v>2</v>
      </c>
      <c r="F773" t="s">
        <v>189</v>
      </c>
      <c r="G773" t="s">
        <v>190</v>
      </c>
    </row>
    <row r="774" spans="1:7" x14ac:dyDescent="0.45">
      <c r="A774">
        <f>VLOOKUP(C774,'Field Layout'!$B$9:$AJ$35,MATCH(Index!B774,'Field Layout'!$B$8:$AJ$8,0),FALSE)</f>
        <v>2252</v>
      </c>
      <c r="B774">
        <v>29</v>
      </c>
      <c r="C774">
        <v>17</v>
      </c>
      <c r="D774">
        <v>150</v>
      </c>
      <c r="E774">
        <v>2</v>
      </c>
      <c r="F774" t="s">
        <v>410</v>
      </c>
      <c r="G774" t="s">
        <v>411</v>
      </c>
    </row>
    <row r="775" spans="1:7" x14ac:dyDescent="0.45">
      <c r="A775">
        <f>VLOOKUP(C775,'Field Layout'!$B$9:$AJ$35,MATCH(Index!B775,'Field Layout'!$B$8:$AJ$8,0),FALSE)</f>
        <v>2268</v>
      </c>
      <c r="B775">
        <v>29</v>
      </c>
      <c r="C775">
        <v>18</v>
      </c>
      <c r="D775">
        <v>150</v>
      </c>
      <c r="E775">
        <v>2</v>
      </c>
      <c r="F775" t="s">
        <v>708</v>
      </c>
      <c r="G775" t="s">
        <v>709</v>
      </c>
    </row>
    <row r="776" spans="1:7" x14ac:dyDescent="0.45">
      <c r="A776">
        <f>VLOOKUP(C776,'Field Layout'!$B$9:$AJ$35,MATCH(Index!B776,'Field Layout'!$B$8:$AJ$8,0),FALSE)</f>
        <v>2284</v>
      </c>
      <c r="B776">
        <v>29</v>
      </c>
      <c r="C776">
        <v>19</v>
      </c>
      <c r="D776">
        <v>150</v>
      </c>
      <c r="E776">
        <v>2</v>
      </c>
      <c r="F776" t="s">
        <v>660</v>
      </c>
      <c r="G776" t="s">
        <v>661</v>
      </c>
    </row>
    <row r="777" spans="1:7" x14ac:dyDescent="0.45">
      <c r="A777">
        <f>VLOOKUP(C777,'Field Layout'!$B$9:$AJ$35,MATCH(Index!B777,'Field Layout'!$B$8:$AJ$8,0),FALSE)</f>
        <v>2300</v>
      </c>
      <c r="B777">
        <v>29</v>
      </c>
      <c r="C777">
        <v>20</v>
      </c>
      <c r="D777">
        <v>150</v>
      </c>
      <c r="E777">
        <v>2</v>
      </c>
      <c r="F777" t="s">
        <v>522</v>
      </c>
      <c r="G777" t="s">
        <v>523</v>
      </c>
    </row>
    <row r="778" spans="1:7" x14ac:dyDescent="0.45">
      <c r="A778">
        <f>VLOOKUP(C778,'Field Layout'!$B$9:$AJ$35,MATCH(Index!B778,'Field Layout'!$B$8:$AJ$8,0),FALSE)</f>
        <v>2316</v>
      </c>
      <c r="B778">
        <v>29</v>
      </c>
      <c r="C778">
        <v>21</v>
      </c>
      <c r="D778">
        <v>150</v>
      </c>
      <c r="E778">
        <v>2</v>
      </c>
      <c r="F778" t="s">
        <v>482</v>
      </c>
      <c r="G778" t="s">
        <v>483</v>
      </c>
    </row>
    <row r="779" spans="1:7" x14ac:dyDescent="0.45">
      <c r="A779">
        <f>VLOOKUP(C779,'Field Layout'!$B$9:$AJ$35,MATCH(Index!B779,'Field Layout'!$B$8:$AJ$8,0),FALSE)</f>
        <v>2332</v>
      </c>
      <c r="B779">
        <v>29</v>
      </c>
      <c r="C779">
        <v>22</v>
      </c>
      <c r="D779">
        <v>150</v>
      </c>
      <c r="E779">
        <v>2</v>
      </c>
      <c r="F779" t="s">
        <v>118</v>
      </c>
      <c r="G779" t="s">
        <v>119</v>
      </c>
    </row>
    <row r="780" spans="1:7" x14ac:dyDescent="0.45">
      <c r="A780">
        <f>VLOOKUP(C780,'Field Layout'!$B$9:$AJ$35,MATCH(Index!B780,'Field Layout'!$B$8:$AJ$8,0),FALSE)</f>
        <v>2348</v>
      </c>
      <c r="B780">
        <v>29</v>
      </c>
      <c r="C780">
        <v>23</v>
      </c>
      <c r="D780">
        <v>150</v>
      </c>
      <c r="E780">
        <v>2</v>
      </c>
      <c r="F780" t="s">
        <v>223</v>
      </c>
      <c r="G780" t="s">
        <v>224</v>
      </c>
    </row>
    <row r="781" spans="1:7" x14ac:dyDescent="0.45">
      <c r="A781">
        <f>VLOOKUP(C781,'Field Layout'!$B$9:$AJ$35,MATCH(Index!B781,'Field Layout'!$B$8:$AJ$8,0),FALSE)</f>
        <v>2364</v>
      </c>
      <c r="B781">
        <v>29</v>
      </c>
      <c r="C781">
        <v>24</v>
      </c>
      <c r="D781">
        <v>150</v>
      </c>
      <c r="E781">
        <v>2</v>
      </c>
      <c r="F781" t="s">
        <v>796</v>
      </c>
      <c r="G781" t="s">
        <v>797</v>
      </c>
    </row>
    <row r="782" spans="1:7" x14ac:dyDescent="0.45">
      <c r="A782">
        <f>VLOOKUP(C782,'Field Layout'!$B$9:$AJ$35,MATCH(Index!B782,'Field Layout'!$B$8:$AJ$8,0),FALSE)</f>
        <v>2380</v>
      </c>
      <c r="B782">
        <v>29</v>
      </c>
      <c r="C782">
        <v>25</v>
      </c>
      <c r="D782">
        <v>150</v>
      </c>
      <c r="E782">
        <v>2</v>
      </c>
      <c r="F782" t="s">
        <v>177</v>
      </c>
      <c r="G782" t="s">
        <v>178</v>
      </c>
    </row>
    <row r="783" spans="1:7" x14ac:dyDescent="0.45">
      <c r="A783">
        <f>VLOOKUP(C783,'Field Layout'!$B$9:$AJ$35,MATCH(Index!B783,'Field Layout'!$B$8:$AJ$8,0),FALSE)</f>
        <v>2396</v>
      </c>
      <c r="B783">
        <v>29</v>
      </c>
      <c r="C783">
        <v>26</v>
      </c>
      <c r="D783">
        <v>150</v>
      </c>
      <c r="E783">
        <v>2</v>
      </c>
      <c r="F783" t="s">
        <v>390</v>
      </c>
      <c r="G783" t="s">
        <v>391</v>
      </c>
    </row>
    <row r="784" spans="1:7" x14ac:dyDescent="0.45">
      <c r="A784" t="str">
        <f>VLOOKUP(C784,'Field Layout'!$B$9:$AJ$35,MATCH(Index!B784,'Field Layout'!$B$8:$AJ$8,0),FALSE)</f>
        <v>Border</v>
      </c>
      <c r="B784">
        <v>29</v>
      </c>
      <c r="C784">
        <v>27</v>
      </c>
      <c r="D784">
        <v>150</v>
      </c>
      <c r="E784" t="s">
        <v>54</v>
      </c>
      <c r="F784" t="s">
        <v>92</v>
      </c>
      <c r="G784" t="s">
        <v>99</v>
      </c>
    </row>
    <row r="785" spans="1:7" x14ac:dyDescent="0.45">
      <c r="A785" t="str">
        <f>VLOOKUP(C785,'Field Layout'!$B$9:$AJ$35,MATCH(Index!B785,'Field Layout'!$B$8:$AJ$8,0),FALSE)</f>
        <v>Border</v>
      </c>
      <c r="B785">
        <v>30</v>
      </c>
      <c r="C785">
        <v>1</v>
      </c>
      <c r="D785">
        <v>150</v>
      </c>
      <c r="E785" t="s">
        <v>54</v>
      </c>
      <c r="F785" t="s">
        <v>92</v>
      </c>
      <c r="G785" t="s">
        <v>99</v>
      </c>
    </row>
    <row r="786" spans="1:7" x14ac:dyDescent="0.45">
      <c r="A786">
        <f>VLOOKUP(C786,'Field Layout'!$B$9:$AJ$35,MATCH(Index!B786,'Field Layout'!$B$8:$AJ$8,0),FALSE)</f>
        <v>2013</v>
      </c>
      <c r="B786">
        <v>30</v>
      </c>
      <c r="C786">
        <v>2</v>
      </c>
      <c r="D786">
        <v>150</v>
      </c>
      <c r="E786">
        <v>2</v>
      </c>
      <c r="F786" t="s">
        <v>363</v>
      </c>
      <c r="G786" t="s">
        <v>119</v>
      </c>
    </row>
    <row r="787" spans="1:7" x14ac:dyDescent="0.45">
      <c r="A787">
        <f>VLOOKUP(C787,'Field Layout'!$B$9:$AJ$35,MATCH(Index!B787,'Field Layout'!$B$8:$AJ$8,0),FALSE)</f>
        <v>2029</v>
      </c>
      <c r="B787">
        <v>30</v>
      </c>
      <c r="C787">
        <v>3</v>
      </c>
      <c r="D787">
        <v>150</v>
      </c>
      <c r="E787">
        <v>2</v>
      </c>
      <c r="F787" t="s">
        <v>800</v>
      </c>
      <c r="G787" t="s">
        <v>801</v>
      </c>
    </row>
    <row r="788" spans="1:7" x14ac:dyDescent="0.45">
      <c r="A788">
        <f>VLOOKUP(C788,'Field Layout'!$B$9:$AJ$35,MATCH(Index!B788,'Field Layout'!$B$8:$AJ$8,0),FALSE)</f>
        <v>2045</v>
      </c>
      <c r="B788">
        <v>30</v>
      </c>
      <c r="C788">
        <v>4</v>
      </c>
      <c r="D788">
        <v>150</v>
      </c>
      <c r="E788">
        <v>2</v>
      </c>
      <c r="F788" t="s">
        <v>537</v>
      </c>
      <c r="G788" t="s">
        <v>538</v>
      </c>
    </row>
    <row r="789" spans="1:7" x14ac:dyDescent="0.45">
      <c r="A789">
        <f>VLOOKUP(C789,'Field Layout'!$B$9:$AJ$35,MATCH(Index!B789,'Field Layout'!$B$8:$AJ$8,0),FALSE)</f>
        <v>2061</v>
      </c>
      <c r="B789">
        <v>30</v>
      </c>
      <c r="C789">
        <v>5</v>
      </c>
      <c r="D789">
        <v>150</v>
      </c>
      <c r="E789">
        <v>2</v>
      </c>
      <c r="F789" t="s">
        <v>554</v>
      </c>
      <c r="G789" t="s">
        <v>555</v>
      </c>
    </row>
    <row r="790" spans="1:7" x14ac:dyDescent="0.45">
      <c r="A790">
        <f>VLOOKUP(C790,'Field Layout'!$B$9:$AJ$35,MATCH(Index!B790,'Field Layout'!$B$8:$AJ$8,0),FALSE)</f>
        <v>2077</v>
      </c>
      <c r="B790">
        <v>30</v>
      </c>
      <c r="C790">
        <v>6</v>
      </c>
      <c r="D790">
        <v>150</v>
      </c>
      <c r="E790">
        <v>2</v>
      </c>
      <c r="F790" t="s">
        <v>512</v>
      </c>
      <c r="G790" t="s">
        <v>513</v>
      </c>
    </row>
    <row r="791" spans="1:7" x14ac:dyDescent="0.45">
      <c r="A791">
        <f>VLOOKUP(C791,'Field Layout'!$B$9:$AJ$35,MATCH(Index!B791,'Field Layout'!$B$8:$AJ$8,0),FALSE)</f>
        <v>2093</v>
      </c>
      <c r="B791">
        <v>30</v>
      </c>
      <c r="C791">
        <v>7</v>
      </c>
      <c r="D791">
        <v>150</v>
      </c>
      <c r="E791">
        <v>2</v>
      </c>
      <c r="F791" t="s">
        <v>251</v>
      </c>
      <c r="G791" t="s">
        <v>252</v>
      </c>
    </row>
    <row r="792" spans="1:7" x14ac:dyDescent="0.45">
      <c r="A792">
        <f>VLOOKUP(C792,'Field Layout'!$B$9:$AJ$35,MATCH(Index!B792,'Field Layout'!$B$8:$AJ$8,0),FALSE)</f>
        <v>2109</v>
      </c>
      <c r="B792">
        <v>30</v>
      </c>
      <c r="C792">
        <v>8</v>
      </c>
      <c r="D792">
        <v>150</v>
      </c>
      <c r="E792">
        <v>2</v>
      </c>
      <c r="F792" t="s">
        <v>476</v>
      </c>
      <c r="G792" t="s">
        <v>477</v>
      </c>
    </row>
    <row r="793" spans="1:7" x14ac:dyDescent="0.45">
      <c r="A793">
        <f>VLOOKUP(C793,'Field Layout'!$B$9:$AJ$35,MATCH(Index!B793,'Field Layout'!$B$8:$AJ$8,0),FALSE)</f>
        <v>2125</v>
      </c>
      <c r="B793">
        <v>30</v>
      </c>
      <c r="C793">
        <v>9</v>
      </c>
      <c r="D793">
        <v>150</v>
      </c>
      <c r="E793">
        <v>2</v>
      </c>
      <c r="F793" t="s">
        <v>257</v>
      </c>
      <c r="G793" t="s">
        <v>258</v>
      </c>
    </row>
    <row r="794" spans="1:7" x14ac:dyDescent="0.45">
      <c r="A794">
        <f>VLOOKUP(C794,'Field Layout'!$B$9:$AJ$35,MATCH(Index!B794,'Field Layout'!$B$8:$AJ$8,0),FALSE)</f>
        <v>2141</v>
      </c>
      <c r="B794">
        <v>30</v>
      </c>
      <c r="C794">
        <v>10</v>
      </c>
      <c r="D794">
        <v>150</v>
      </c>
      <c r="E794">
        <v>2</v>
      </c>
      <c r="F794" t="s">
        <v>327</v>
      </c>
      <c r="G794" t="s">
        <v>328</v>
      </c>
    </row>
    <row r="795" spans="1:7" x14ac:dyDescent="0.45">
      <c r="A795">
        <f>VLOOKUP(C795,'Field Layout'!$B$9:$AJ$35,MATCH(Index!B795,'Field Layout'!$B$8:$AJ$8,0),FALSE)</f>
        <v>2157</v>
      </c>
      <c r="B795">
        <v>30</v>
      </c>
      <c r="C795">
        <v>11</v>
      </c>
      <c r="D795">
        <v>150</v>
      </c>
      <c r="E795">
        <v>2</v>
      </c>
      <c r="F795" t="s">
        <v>640</v>
      </c>
      <c r="G795" t="s">
        <v>641</v>
      </c>
    </row>
    <row r="796" spans="1:7" x14ac:dyDescent="0.45">
      <c r="A796">
        <f>VLOOKUP(C796,'Field Layout'!$B$9:$AJ$35,MATCH(Index!B796,'Field Layout'!$B$8:$AJ$8,0),FALSE)</f>
        <v>2173</v>
      </c>
      <c r="B796">
        <v>30</v>
      </c>
      <c r="C796">
        <v>12</v>
      </c>
      <c r="D796">
        <v>150</v>
      </c>
      <c r="E796">
        <v>2</v>
      </c>
      <c r="F796" t="s">
        <v>416</v>
      </c>
      <c r="G796" t="s">
        <v>417</v>
      </c>
    </row>
    <row r="797" spans="1:7" x14ac:dyDescent="0.45">
      <c r="A797">
        <f>VLOOKUP(C797,'Field Layout'!$B$9:$AJ$35,MATCH(Index!B797,'Field Layout'!$B$8:$AJ$8,0),FALSE)</f>
        <v>2189</v>
      </c>
      <c r="B797">
        <v>30</v>
      </c>
      <c r="C797">
        <v>13</v>
      </c>
      <c r="D797">
        <v>150</v>
      </c>
      <c r="E797">
        <v>2</v>
      </c>
      <c r="F797" t="s">
        <v>464</v>
      </c>
      <c r="G797" t="s">
        <v>465</v>
      </c>
    </row>
    <row r="798" spans="1:7" x14ac:dyDescent="0.45">
      <c r="A798">
        <f>VLOOKUP(C798,'Field Layout'!$B$9:$AJ$35,MATCH(Index!B798,'Field Layout'!$B$8:$AJ$8,0),FALSE)</f>
        <v>2205</v>
      </c>
      <c r="B798">
        <v>30</v>
      </c>
      <c r="C798">
        <v>14</v>
      </c>
      <c r="D798">
        <v>150</v>
      </c>
      <c r="E798">
        <v>2</v>
      </c>
      <c r="F798" t="s">
        <v>243</v>
      </c>
      <c r="G798" t="s">
        <v>244</v>
      </c>
    </row>
    <row r="799" spans="1:7" x14ac:dyDescent="0.45">
      <c r="A799">
        <f>VLOOKUP(C799,'Field Layout'!$B$9:$AJ$35,MATCH(Index!B799,'Field Layout'!$B$8:$AJ$8,0),FALSE)</f>
        <v>2221</v>
      </c>
      <c r="B799">
        <v>30</v>
      </c>
      <c r="C799">
        <v>15</v>
      </c>
      <c r="D799">
        <v>150</v>
      </c>
      <c r="E799">
        <v>2</v>
      </c>
      <c r="F799" t="s">
        <v>466</v>
      </c>
      <c r="G799" t="s">
        <v>467</v>
      </c>
    </row>
    <row r="800" spans="1:7" x14ac:dyDescent="0.45">
      <c r="A800">
        <f>VLOOKUP(C800,'Field Layout'!$B$9:$AJ$35,MATCH(Index!B800,'Field Layout'!$B$8:$AJ$8,0),FALSE)</f>
        <v>2237</v>
      </c>
      <c r="B800">
        <v>30</v>
      </c>
      <c r="C800">
        <v>16</v>
      </c>
      <c r="D800">
        <v>150</v>
      </c>
      <c r="E800">
        <v>2</v>
      </c>
      <c r="F800" t="s">
        <v>118</v>
      </c>
      <c r="G800" t="s">
        <v>119</v>
      </c>
    </row>
    <row r="801" spans="1:7" x14ac:dyDescent="0.45">
      <c r="A801">
        <f>VLOOKUP(C801,'Field Layout'!$B$9:$AJ$35,MATCH(Index!B801,'Field Layout'!$B$8:$AJ$8,0),FALSE)</f>
        <v>2253</v>
      </c>
      <c r="B801">
        <v>30</v>
      </c>
      <c r="C801">
        <v>17</v>
      </c>
      <c r="D801">
        <v>150</v>
      </c>
      <c r="E801">
        <v>2</v>
      </c>
      <c r="F801" t="s">
        <v>378</v>
      </c>
      <c r="G801" t="s">
        <v>379</v>
      </c>
    </row>
    <row r="802" spans="1:7" x14ac:dyDescent="0.45">
      <c r="A802">
        <f>VLOOKUP(C802,'Field Layout'!$B$9:$AJ$35,MATCH(Index!B802,'Field Layout'!$B$8:$AJ$8,0),FALSE)</f>
        <v>2269</v>
      </c>
      <c r="B802">
        <v>30</v>
      </c>
      <c r="C802">
        <v>18</v>
      </c>
      <c r="D802">
        <v>150</v>
      </c>
      <c r="E802">
        <v>2</v>
      </c>
      <c r="F802" t="s">
        <v>118</v>
      </c>
      <c r="G802" t="s">
        <v>119</v>
      </c>
    </row>
    <row r="803" spans="1:7" x14ac:dyDescent="0.45">
      <c r="A803">
        <f>VLOOKUP(C803,'Field Layout'!$B$9:$AJ$35,MATCH(Index!B803,'Field Layout'!$B$8:$AJ$8,0),FALSE)</f>
        <v>2285</v>
      </c>
      <c r="B803">
        <v>30</v>
      </c>
      <c r="C803">
        <v>19</v>
      </c>
      <c r="D803">
        <v>150</v>
      </c>
      <c r="E803">
        <v>2</v>
      </c>
      <c r="F803" t="s">
        <v>438</v>
      </c>
      <c r="G803" t="s">
        <v>439</v>
      </c>
    </row>
    <row r="804" spans="1:7" x14ac:dyDescent="0.45">
      <c r="A804">
        <f>VLOOKUP(C804,'Field Layout'!$B$9:$AJ$35,MATCH(Index!B804,'Field Layout'!$B$8:$AJ$8,0),FALSE)</f>
        <v>2301</v>
      </c>
      <c r="B804">
        <v>30</v>
      </c>
      <c r="C804">
        <v>20</v>
      </c>
      <c r="D804">
        <v>150</v>
      </c>
      <c r="E804">
        <v>2</v>
      </c>
      <c r="F804" t="s">
        <v>118</v>
      </c>
      <c r="G804" t="s">
        <v>119</v>
      </c>
    </row>
    <row r="805" spans="1:7" x14ac:dyDescent="0.45">
      <c r="A805">
        <f>VLOOKUP(C805,'Field Layout'!$B$9:$AJ$35,MATCH(Index!B805,'Field Layout'!$B$8:$AJ$8,0),FALSE)</f>
        <v>2317</v>
      </c>
      <c r="B805">
        <v>30</v>
      </c>
      <c r="C805">
        <v>21</v>
      </c>
      <c r="D805">
        <v>150</v>
      </c>
      <c r="E805">
        <v>2</v>
      </c>
      <c r="F805" t="s">
        <v>490</v>
      </c>
      <c r="G805" t="s">
        <v>491</v>
      </c>
    </row>
    <row r="806" spans="1:7" x14ac:dyDescent="0.45">
      <c r="A806">
        <f>VLOOKUP(C806,'Field Layout'!$B$9:$AJ$35,MATCH(Index!B806,'Field Layout'!$B$8:$AJ$8,0),FALSE)</f>
        <v>2333</v>
      </c>
      <c r="B806">
        <v>30</v>
      </c>
      <c r="C806">
        <v>22</v>
      </c>
      <c r="D806">
        <v>150</v>
      </c>
      <c r="E806">
        <v>2</v>
      </c>
      <c r="F806" t="s">
        <v>560</v>
      </c>
      <c r="G806" t="s">
        <v>561</v>
      </c>
    </row>
    <row r="807" spans="1:7" x14ac:dyDescent="0.45">
      <c r="A807">
        <f>VLOOKUP(C807,'Field Layout'!$B$9:$AJ$35,MATCH(Index!B807,'Field Layout'!$B$8:$AJ$8,0),FALSE)</f>
        <v>2349</v>
      </c>
      <c r="B807">
        <v>30</v>
      </c>
      <c r="C807">
        <v>23</v>
      </c>
      <c r="D807">
        <v>150</v>
      </c>
      <c r="E807">
        <v>2</v>
      </c>
      <c r="F807" t="s">
        <v>612</v>
      </c>
      <c r="G807" t="s">
        <v>613</v>
      </c>
    </row>
    <row r="808" spans="1:7" x14ac:dyDescent="0.45">
      <c r="A808">
        <f>VLOOKUP(C808,'Field Layout'!$B$9:$AJ$35,MATCH(Index!B808,'Field Layout'!$B$8:$AJ$8,0),FALSE)</f>
        <v>2365</v>
      </c>
      <c r="B808">
        <v>30</v>
      </c>
      <c r="C808">
        <v>24</v>
      </c>
      <c r="D808">
        <v>150</v>
      </c>
      <c r="E808">
        <v>2</v>
      </c>
      <c r="F808" t="s">
        <v>179</v>
      </c>
      <c r="G808" t="s">
        <v>180</v>
      </c>
    </row>
    <row r="809" spans="1:7" x14ac:dyDescent="0.45">
      <c r="A809">
        <f>VLOOKUP(C809,'Field Layout'!$B$9:$AJ$35,MATCH(Index!B809,'Field Layout'!$B$8:$AJ$8,0),FALSE)</f>
        <v>2381</v>
      </c>
      <c r="B809">
        <v>30</v>
      </c>
      <c r="C809">
        <v>25</v>
      </c>
      <c r="D809">
        <v>150</v>
      </c>
      <c r="E809">
        <v>2</v>
      </c>
      <c r="F809" t="s">
        <v>169</v>
      </c>
      <c r="G809" t="s">
        <v>170</v>
      </c>
    </row>
    <row r="810" spans="1:7" x14ac:dyDescent="0.45">
      <c r="A810">
        <f>VLOOKUP(C810,'Field Layout'!$B$9:$AJ$35,MATCH(Index!B810,'Field Layout'!$B$8:$AJ$8,0),FALSE)</f>
        <v>2397</v>
      </c>
      <c r="B810">
        <v>30</v>
      </c>
      <c r="C810">
        <v>26</v>
      </c>
      <c r="D810">
        <v>150</v>
      </c>
      <c r="E810">
        <v>2</v>
      </c>
      <c r="F810" t="s">
        <v>94</v>
      </c>
      <c r="G810" t="e">
        <v>#N/A</v>
      </c>
    </row>
    <row r="811" spans="1:7" x14ac:dyDescent="0.45">
      <c r="A811" t="str">
        <f>VLOOKUP(C811,'Field Layout'!$B$9:$AJ$35,MATCH(Index!B811,'Field Layout'!$B$8:$AJ$8,0),FALSE)</f>
        <v>Border</v>
      </c>
      <c r="B811">
        <v>30</v>
      </c>
      <c r="C811">
        <v>27</v>
      </c>
      <c r="D811">
        <v>150</v>
      </c>
      <c r="E811" t="s">
        <v>54</v>
      </c>
      <c r="F811" t="s">
        <v>92</v>
      </c>
      <c r="G811" t="s">
        <v>99</v>
      </c>
    </row>
    <row r="812" spans="1:7" x14ac:dyDescent="0.45">
      <c r="A812" t="str">
        <f>VLOOKUP(C812,'Field Layout'!$B$9:$AJ$35,MATCH(Index!B812,'Field Layout'!$B$8:$AJ$8,0),FALSE)</f>
        <v>Border</v>
      </c>
      <c r="B812">
        <v>31</v>
      </c>
      <c r="C812">
        <v>1</v>
      </c>
      <c r="D812">
        <v>150</v>
      </c>
      <c r="E812" t="s">
        <v>54</v>
      </c>
      <c r="F812" t="s">
        <v>92</v>
      </c>
      <c r="G812" t="s">
        <v>99</v>
      </c>
    </row>
    <row r="813" spans="1:7" x14ac:dyDescent="0.45">
      <c r="A813">
        <f>VLOOKUP(C813,'Field Layout'!$B$9:$AJ$35,MATCH(Index!B813,'Field Layout'!$B$8:$AJ$8,0),FALSE)</f>
        <v>2014</v>
      </c>
      <c r="B813">
        <v>31</v>
      </c>
      <c r="C813">
        <v>2</v>
      </c>
      <c r="D813">
        <v>150</v>
      </c>
      <c r="E813">
        <v>2</v>
      </c>
      <c r="F813" t="s">
        <v>757</v>
      </c>
      <c r="G813" t="s">
        <v>119</v>
      </c>
    </row>
    <row r="814" spans="1:7" x14ac:dyDescent="0.45">
      <c r="A814">
        <f>VLOOKUP(C814,'Field Layout'!$B$9:$AJ$35,MATCH(Index!B814,'Field Layout'!$B$8:$AJ$8,0),FALSE)</f>
        <v>2030</v>
      </c>
      <c r="B814">
        <v>31</v>
      </c>
      <c r="C814">
        <v>3</v>
      </c>
      <c r="D814">
        <v>150</v>
      </c>
      <c r="E814">
        <v>2</v>
      </c>
      <c r="F814" t="s">
        <v>361</v>
      </c>
      <c r="G814" t="s">
        <v>362</v>
      </c>
    </row>
    <row r="815" spans="1:7" x14ac:dyDescent="0.45">
      <c r="A815">
        <f>VLOOKUP(C815,'Field Layout'!$B$9:$AJ$35,MATCH(Index!B815,'Field Layout'!$B$8:$AJ$8,0),FALSE)</f>
        <v>2046</v>
      </c>
      <c r="B815">
        <v>31</v>
      </c>
      <c r="C815">
        <v>4</v>
      </c>
      <c r="D815">
        <v>150</v>
      </c>
      <c r="E815">
        <v>2</v>
      </c>
      <c r="F815" t="s">
        <v>495</v>
      </c>
      <c r="G815" t="s">
        <v>119</v>
      </c>
    </row>
    <row r="816" spans="1:7" x14ac:dyDescent="0.45">
      <c r="A816">
        <f>VLOOKUP(C816,'Field Layout'!$B$9:$AJ$35,MATCH(Index!B816,'Field Layout'!$B$8:$AJ$8,0),FALSE)</f>
        <v>2062</v>
      </c>
      <c r="B816">
        <v>31</v>
      </c>
      <c r="C816">
        <v>5</v>
      </c>
      <c r="D816">
        <v>150</v>
      </c>
      <c r="E816">
        <v>2</v>
      </c>
      <c r="F816" t="s">
        <v>116</v>
      </c>
      <c r="G816" t="s">
        <v>117</v>
      </c>
    </row>
    <row r="817" spans="1:7" x14ac:dyDescent="0.45">
      <c r="A817">
        <f>VLOOKUP(C817,'Field Layout'!$B$9:$AJ$35,MATCH(Index!B817,'Field Layout'!$B$8:$AJ$8,0),FALSE)</f>
        <v>2078</v>
      </c>
      <c r="B817">
        <v>31</v>
      </c>
      <c r="C817">
        <v>6</v>
      </c>
      <c r="D817">
        <v>150</v>
      </c>
      <c r="E817">
        <v>2</v>
      </c>
      <c r="F817" t="s">
        <v>249</v>
      </c>
      <c r="G817" t="s">
        <v>250</v>
      </c>
    </row>
    <row r="818" spans="1:7" x14ac:dyDescent="0.45">
      <c r="A818">
        <f>VLOOKUP(C818,'Field Layout'!$B$9:$AJ$35,MATCH(Index!B818,'Field Layout'!$B$8:$AJ$8,0),FALSE)</f>
        <v>2094</v>
      </c>
      <c r="B818">
        <v>31</v>
      </c>
      <c r="C818">
        <v>7</v>
      </c>
      <c r="D818">
        <v>150</v>
      </c>
      <c r="E818">
        <v>2</v>
      </c>
      <c r="F818" t="s">
        <v>510</v>
      </c>
      <c r="G818" t="s">
        <v>511</v>
      </c>
    </row>
    <row r="819" spans="1:7" x14ac:dyDescent="0.45">
      <c r="A819">
        <f>VLOOKUP(C819,'Field Layout'!$B$9:$AJ$35,MATCH(Index!B819,'Field Layout'!$B$8:$AJ$8,0),FALSE)</f>
        <v>2110</v>
      </c>
      <c r="B819">
        <v>31</v>
      </c>
      <c r="C819">
        <v>8</v>
      </c>
      <c r="D819">
        <v>150</v>
      </c>
      <c r="E819">
        <v>2</v>
      </c>
      <c r="F819" t="s">
        <v>213</v>
      </c>
      <c r="G819" t="s">
        <v>214</v>
      </c>
    </row>
    <row r="820" spans="1:7" x14ac:dyDescent="0.45">
      <c r="A820">
        <f>VLOOKUP(C820,'Field Layout'!$B$9:$AJ$35,MATCH(Index!B820,'Field Layout'!$B$8:$AJ$8,0),FALSE)</f>
        <v>2126</v>
      </c>
      <c r="B820">
        <v>31</v>
      </c>
      <c r="C820">
        <v>9</v>
      </c>
      <c r="D820">
        <v>150</v>
      </c>
      <c r="E820">
        <v>2</v>
      </c>
      <c r="F820" t="s">
        <v>255</v>
      </c>
      <c r="G820" t="s">
        <v>256</v>
      </c>
    </row>
    <row r="821" spans="1:7" x14ac:dyDescent="0.45">
      <c r="A821">
        <f>VLOOKUP(C821,'Field Layout'!$B$9:$AJ$35,MATCH(Index!B821,'Field Layout'!$B$8:$AJ$8,0),FALSE)</f>
        <v>2142</v>
      </c>
      <c r="B821">
        <v>31</v>
      </c>
      <c r="C821">
        <v>10</v>
      </c>
      <c r="D821">
        <v>150</v>
      </c>
      <c r="E821">
        <v>2</v>
      </c>
      <c r="F821" t="s">
        <v>118</v>
      </c>
      <c r="G821" t="s">
        <v>119</v>
      </c>
    </row>
    <row r="822" spans="1:7" x14ac:dyDescent="0.45">
      <c r="A822">
        <f>VLOOKUP(C822,'Field Layout'!$B$9:$AJ$35,MATCH(Index!B822,'Field Layout'!$B$8:$AJ$8,0),FALSE)</f>
        <v>2158</v>
      </c>
      <c r="B822">
        <v>31</v>
      </c>
      <c r="C822">
        <v>11</v>
      </c>
      <c r="D822">
        <v>150</v>
      </c>
      <c r="E822">
        <v>2</v>
      </c>
      <c r="F822" t="s">
        <v>638</v>
      </c>
      <c r="G822" t="s">
        <v>639</v>
      </c>
    </row>
    <row r="823" spans="1:7" x14ac:dyDescent="0.45">
      <c r="A823">
        <f>VLOOKUP(C823,'Field Layout'!$B$9:$AJ$35,MATCH(Index!B823,'Field Layout'!$B$8:$AJ$8,0),FALSE)</f>
        <v>2174</v>
      </c>
      <c r="B823">
        <v>31</v>
      </c>
      <c r="C823">
        <v>12</v>
      </c>
      <c r="D823">
        <v>150</v>
      </c>
      <c r="E823">
        <v>2</v>
      </c>
      <c r="F823" t="s">
        <v>420</v>
      </c>
      <c r="G823" t="s">
        <v>421</v>
      </c>
    </row>
    <row r="824" spans="1:7" x14ac:dyDescent="0.45">
      <c r="A824">
        <f>VLOOKUP(C824,'Field Layout'!$B$9:$AJ$35,MATCH(Index!B824,'Field Layout'!$B$8:$AJ$8,0),FALSE)</f>
        <v>2190</v>
      </c>
      <c r="B824">
        <v>31</v>
      </c>
      <c r="C824">
        <v>13</v>
      </c>
      <c r="D824">
        <v>150</v>
      </c>
      <c r="E824">
        <v>2</v>
      </c>
      <c r="F824" t="s">
        <v>546</v>
      </c>
      <c r="G824" t="s">
        <v>547</v>
      </c>
    </row>
    <row r="825" spans="1:7" x14ac:dyDescent="0.45">
      <c r="A825">
        <f>VLOOKUP(C825,'Field Layout'!$B$9:$AJ$35,MATCH(Index!B825,'Field Layout'!$B$8:$AJ$8,0),FALSE)</f>
        <v>2206</v>
      </c>
      <c r="B825">
        <v>31</v>
      </c>
      <c r="C825">
        <v>14</v>
      </c>
      <c r="D825">
        <v>150</v>
      </c>
      <c r="E825">
        <v>2</v>
      </c>
      <c r="F825" t="s">
        <v>588</v>
      </c>
      <c r="G825" t="s">
        <v>589</v>
      </c>
    </row>
    <row r="826" spans="1:7" x14ac:dyDescent="0.45">
      <c r="A826">
        <f>VLOOKUP(C826,'Field Layout'!$B$9:$AJ$35,MATCH(Index!B826,'Field Layout'!$B$8:$AJ$8,0),FALSE)</f>
        <v>2222</v>
      </c>
      <c r="B826">
        <v>31</v>
      </c>
      <c r="C826">
        <v>15</v>
      </c>
      <c r="D826">
        <v>150</v>
      </c>
      <c r="E826">
        <v>2</v>
      </c>
      <c r="F826" t="s">
        <v>104</v>
      </c>
      <c r="G826" t="s">
        <v>105</v>
      </c>
    </row>
    <row r="827" spans="1:7" x14ac:dyDescent="0.45">
      <c r="A827">
        <f>VLOOKUP(C827,'Field Layout'!$B$9:$AJ$35,MATCH(Index!B827,'Field Layout'!$B$8:$AJ$8,0),FALSE)</f>
        <v>2238</v>
      </c>
      <c r="B827">
        <v>31</v>
      </c>
      <c r="C827">
        <v>16</v>
      </c>
      <c r="D827">
        <v>150</v>
      </c>
      <c r="E827">
        <v>2</v>
      </c>
      <c r="F827" t="s">
        <v>414</v>
      </c>
      <c r="G827" t="s">
        <v>415</v>
      </c>
    </row>
    <row r="828" spans="1:7" x14ac:dyDescent="0.45">
      <c r="A828">
        <f>VLOOKUP(C828,'Field Layout'!$B$9:$AJ$35,MATCH(Index!B828,'Field Layout'!$B$8:$AJ$8,0),FALSE)</f>
        <v>2254</v>
      </c>
      <c r="B828">
        <v>31</v>
      </c>
      <c r="C828">
        <v>17</v>
      </c>
      <c r="D828">
        <v>150</v>
      </c>
      <c r="E828">
        <v>2</v>
      </c>
      <c r="F828" t="s">
        <v>118</v>
      </c>
      <c r="G828" t="s">
        <v>119</v>
      </c>
    </row>
    <row r="829" spans="1:7" x14ac:dyDescent="0.45">
      <c r="A829">
        <f>VLOOKUP(C829,'Field Layout'!$B$9:$AJ$35,MATCH(Index!B829,'Field Layout'!$B$8:$AJ$8,0),FALSE)</f>
        <v>2270</v>
      </c>
      <c r="B829">
        <v>31</v>
      </c>
      <c r="C829">
        <v>18</v>
      </c>
      <c r="D829">
        <v>150</v>
      </c>
      <c r="E829">
        <v>2</v>
      </c>
      <c r="F829" t="s">
        <v>357</v>
      </c>
      <c r="G829" t="s">
        <v>358</v>
      </c>
    </row>
    <row r="830" spans="1:7" x14ac:dyDescent="0.45">
      <c r="A830">
        <f>VLOOKUP(C830,'Field Layout'!$B$9:$AJ$35,MATCH(Index!B830,'Field Layout'!$B$8:$AJ$8,0),FALSE)</f>
        <v>2286</v>
      </c>
      <c r="B830">
        <v>31</v>
      </c>
      <c r="C830">
        <v>19</v>
      </c>
      <c r="D830">
        <v>150</v>
      </c>
      <c r="E830">
        <v>2</v>
      </c>
      <c r="F830" t="s">
        <v>134</v>
      </c>
      <c r="G830" t="s">
        <v>135</v>
      </c>
    </row>
    <row r="831" spans="1:7" x14ac:dyDescent="0.45">
      <c r="A831">
        <f>VLOOKUP(C831,'Field Layout'!$B$9:$AJ$35,MATCH(Index!B831,'Field Layout'!$B$8:$AJ$8,0),FALSE)</f>
        <v>2302</v>
      </c>
      <c r="B831">
        <v>31</v>
      </c>
      <c r="C831">
        <v>20</v>
      </c>
      <c r="D831">
        <v>150</v>
      </c>
      <c r="E831">
        <v>2</v>
      </c>
      <c r="F831" t="s">
        <v>175</v>
      </c>
      <c r="G831" t="s">
        <v>176</v>
      </c>
    </row>
    <row r="832" spans="1:7" x14ac:dyDescent="0.45">
      <c r="A832">
        <f>VLOOKUP(C832,'Field Layout'!$B$9:$AJ$35,MATCH(Index!B832,'Field Layout'!$B$8:$AJ$8,0),FALSE)</f>
        <v>2318</v>
      </c>
      <c r="B832">
        <v>31</v>
      </c>
      <c r="C832">
        <v>21</v>
      </c>
      <c r="D832">
        <v>150</v>
      </c>
      <c r="E832">
        <v>2</v>
      </c>
      <c r="F832" t="s">
        <v>314</v>
      </c>
      <c r="G832" t="s">
        <v>315</v>
      </c>
    </row>
    <row r="833" spans="1:7" x14ac:dyDescent="0.45">
      <c r="A833">
        <f>VLOOKUP(C833,'Field Layout'!$B$9:$AJ$35,MATCH(Index!B833,'Field Layout'!$B$8:$AJ$8,0),FALSE)</f>
        <v>2334</v>
      </c>
      <c r="B833">
        <v>31</v>
      </c>
      <c r="C833">
        <v>22</v>
      </c>
      <c r="D833">
        <v>150</v>
      </c>
      <c r="E833">
        <v>2</v>
      </c>
      <c r="F833" t="s">
        <v>221</v>
      </c>
      <c r="G833" t="s">
        <v>222</v>
      </c>
    </row>
    <row r="834" spans="1:7" x14ac:dyDescent="0.45">
      <c r="A834">
        <f>VLOOKUP(C834,'Field Layout'!$B$9:$AJ$35,MATCH(Index!B834,'Field Layout'!$B$8:$AJ$8,0),FALSE)</f>
        <v>2350</v>
      </c>
      <c r="B834">
        <v>31</v>
      </c>
      <c r="C834">
        <v>23</v>
      </c>
      <c r="D834">
        <v>150</v>
      </c>
      <c r="E834">
        <v>2</v>
      </c>
      <c r="F834" t="s">
        <v>784</v>
      </c>
      <c r="G834" t="s">
        <v>785</v>
      </c>
    </row>
    <row r="835" spans="1:7" x14ac:dyDescent="0.45">
      <c r="A835">
        <f>VLOOKUP(C835,'Field Layout'!$B$9:$AJ$35,MATCH(Index!B835,'Field Layout'!$B$8:$AJ$8,0),FALSE)</f>
        <v>2366</v>
      </c>
      <c r="B835">
        <v>31</v>
      </c>
      <c r="C835">
        <v>24</v>
      </c>
      <c r="D835">
        <v>150</v>
      </c>
      <c r="E835">
        <v>2</v>
      </c>
      <c r="F835" t="s">
        <v>620</v>
      </c>
      <c r="G835" t="s">
        <v>621</v>
      </c>
    </row>
    <row r="836" spans="1:7" x14ac:dyDescent="0.45">
      <c r="A836">
        <f>VLOOKUP(C836,'Field Layout'!$B$9:$AJ$35,MATCH(Index!B836,'Field Layout'!$B$8:$AJ$8,0),FALSE)</f>
        <v>2382</v>
      </c>
      <c r="B836">
        <v>31</v>
      </c>
      <c r="C836">
        <v>25</v>
      </c>
      <c r="D836">
        <v>150</v>
      </c>
      <c r="E836">
        <v>2</v>
      </c>
      <c r="F836" t="s">
        <v>788</v>
      </c>
      <c r="G836" t="s">
        <v>789</v>
      </c>
    </row>
    <row r="837" spans="1:7" x14ac:dyDescent="0.45">
      <c r="A837">
        <f>VLOOKUP(C837,'Field Layout'!$B$9:$AJ$35,MATCH(Index!B837,'Field Layout'!$B$8:$AJ$8,0),FALSE)</f>
        <v>2398</v>
      </c>
      <c r="B837">
        <v>31</v>
      </c>
      <c r="C837">
        <v>26</v>
      </c>
      <c r="D837">
        <v>150</v>
      </c>
      <c r="E837">
        <v>2</v>
      </c>
      <c r="F837" t="s">
        <v>94</v>
      </c>
      <c r="G837" t="e">
        <v>#N/A</v>
      </c>
    </row>
    <row r="838" spans="1:7" x14ac:dyDescent="0.45">
      <c r="A838" t="str">
        <f>VLOOKUP(C838,'Field Layout'!$B$9:$AJ$35,MATCH(Index!B838,'Field Layout'!$B$8:$AJ$8,0),FALSE)</f>
        <v>Border</v>
      </c>
      <c r="B838">
        <v>31</v>
      </c>
      <c r="C838">
        <v>27</v>
      </c>
      <c r="D838">
        <v>150</v>
      </c>
      <c r="E838" t="s">
        <v>54</v>
      </c>
      <c r="F838" t="s">
        <v>92</v>
      </c>
      <c r="G838" t="s">
        <v>99</v>
      </c>
    </row>
    <row r="839" spans="1:7" x14ac:dyDescent="0.45">
      <c r="A839" t="str">
        <f>VLOOKUP(C839,'Field Layout'!$B$9:$AJ$35,MATCH(Index!B839,'Field Layout'!$B$8:$AJ$8,0),FALSE)</f>
        <v>Border</v>
      </c>
      <c r="B839">
        <v>32</v>
      </c>
      <c r="C839">
        <v>1</v>
      </c>
      <c r="D839">
        <v>150</v>
      </c>
      <c r="E839" t="s">
        <v>54</v>
      </c>
      <c r="F839" t="s">
        <v>92</v>
      </c>
      <c r="G839" t="s">
        <v>99</v>
      </c>
    </row>
    <row r="840" spans="1:7" x14ac:dyDescent="0.45">
      <c r="A840">
        <f>VLOOKUP(C840,'Field Layout'!$B$9:$AJ$35,MATCH(Index!B840,'Field Layout'!$B$8:$AJ$8,0),FALSE)</f>
        <v>2015</v>
      </c>
      <c r="B840">
        <v>32</v>
      </c>
      <c r="C840">
        <v>2</v>
      </c>
      <c r="D840">
        <v>150</v>
      </c>
      <c r="E840">
        <v>2</v>
      </c>
      <c r="F840" t="s">
        <v>624</v>
      </c>
      <c r="G840" t="s">
        <v>625</v>
      </c>
    </row>
    <row r="841" spans="1:7" x14ac:dyDescent="0.45">
      <c r="A841">
        <f>VLOOKUP(C841,'Field Layout'!$B$9:$AJ$35,MATCH(Index!B841,'Field Layout'!$B$8:$AJ$8,0),FALSE)</f>
        <v>2031</v>
      </c>
      <c r="B841">
        <v>32</v>
      </c>
      <c r="C841">
        <v>3</v>
      </c>
      <c r="D841">
        <v>150</v>
      </c>
      <c r="E841">
        <v>2</v>
      </c>
      <c r="F841" t="s">
        <v>181</v>
      </c>
      <c r="G841" t="s">
        <v>182</v>
      </c>
    </row>
    <row r="842" spans="1:7" x14ac:dyDescent="0.45">
      <c r="A842">
        <f>VLOOKUP(C842,'Field Layout'!$B$9:$AJ$35,MATCH(Index!B842,'Field Layout'!$B$8:$AJ$8,0),FALSE)</f>
        <v>2047</v>
      </c>
      <c r="B842">
        <v>32</v>
      </c>
      <c r="C842">
        <v>4</v>
      </c>
      <c r="D842">
        <v>150</v>
      </c>
      <c r="E842">
        <v>2</v>
      </c>
      <c r="F842" t="s">
        <v>146</v>
      </c>
      <c r="G842" t="s">
        <v>119</v>
      </c>
    </row>
    <row r="843" spans="1:7" x14ac:dyDescent="0.45">
      <c r="A843">
        <f>VLOOKUP(C843,'Field Layout'!$B$9:$AJ$35,MATCH(Index!B843,'Field Layout'!$B$8:$AJ$8,0),FALSE)</f>
        <v>2063</v>
      </c>
      <c r="B843">
        <v>32</v>
      </c>
      <c r="C843">
        <v>5</v>
      </c>
      <c r="D843">
        <v>150</v>
      </c>
      <c r="E843">
        <v>2</v>
      </c>
      <c r="F843" t="s">
        <v>341</v>
      </c>
      <c r="G843" t="s">
        <v>342</v>
      </c>
    </row>
    <row r="844" spans="1:7" x14ac:dyDescent="0.45">
      <c r="A844">
        <f>VLOOKUP(C844,'Field Layout'!$B$9:$AJ$35,MATCH(Index!B844,'Field Layout'!$B$8:$AJ$8,0),FALSE)</f>
        <v>2079</v>
      </c>
      <c r="B844">
        <v>32</v>
      </c>
      <c r="C844">
        <v>6</v>
      </c>
      <c r="D844">
        <v>150</v>
      </c>
      <c r="E844">
        <v>2</v>
      </c>
      <c r="F844" t="s">
        <v>726</v>
      </c>
      <c r="G844" t="s">
        <v>727</v>
      </c>
    </row>
    <row r="845" spans="1:7" x14ac:dyDescent="0.45">
      <c r="A845">
        <f>VLOOKUP(C845,'Field Layout'!$B$9:$AJ$35,MATCH(Index!B845,'Field Layout'!$B$8:$AJ$8,0),FALSE)</f>
        <v>2095</v>
      </c>
      <c r="B845">
        <v>32</v>
      </c>
      <c r="C845">
        <v>7</v>
      </c>
      <c r="D845">
        <v>150</v>
      </c>
      <c r="E845">
        <v>2</v>
      </c>
      <c r="F845" t="s">
        <v>776</v>
      </c>
      <c r="G845" t="s">
        <v>777</v>
      </c>
    </row>
    <row r="846" spans="1:7" x14ac:dyDescent="0.45">
      <c r="A846">
        <f>VLOOKUP(C846,'Field Layout'!$B$9:$AJ$35,MATCH(Index!B846,'Field Layout'!$B$8:$AJ$8,0),FALSE)</f>
        <v>2111</v>
      </c>
      <c r="B846">
        <v>32</v>
      </c>
      <c r="C846">
        <v>8</v>
      </c>
      <c r="D846">
        <v>150</v>
      </c>
      <c r="E846">
        <v>2</v>
      </c>
      <c r="F846" t="s">
        <v>163</v>
      </c>
      <c r="G846" t="s">
        <v>164</v>
      </c>
    </row>
    <row r="847" spans="1:7" x14ac:dyDescent="0.45">
      <c r="A847">
        <f>VLOOKUP(C847,'Field Layout'!$B$9:$AJ$35,MATCH(Index!B847,'Field Layout'!$B$8:$AJ$8,0),FALSE)</f>
        <v>2127</v>
      </c>
      <c r="B847">
        <v>32</v>
      </c>
      <c r="C847">
        <v>9</v>
      </c>
      <c r="D847">
        <v>150</v>
      </c>
      <c r="E847">
        <v>2</v>
      </c>
      <c r="F847" t="s">
        <v>386</v>
      </c>
      <c r="G847" t="s">
        <v>387</v>
      </c>
    </row>
    <row r="848" spans="1:7" x14ac:dyDescent="0.45">
      <c r="A848">
        <f>VLOOKUP(C848,'Field Layout'!$B$9:$AJ$35,MATCH(Index!B848,'Field Layout'!$B$8:$AJ$8,0),FALSE)</f>
        <v>2143</v>
      </c>
      <c r="B848">
        <v>32</v>
      </c>
      <c r="C848">
        <v>10</v>
      </c>
      <c r="D848">
        <v>150</v>
      </c>
      <c r="E848">
        <v>2</v>
      </c>
      <c r="F848" t="s">
        <v>153</v>
      </c>
      <c r="G848" t="s">
        <v>154</v>
      </c>
    </row>
    <row r="849" spans="1:7" x14ac:dyDescent="0.45">
      <c r="A849">
        <f>VLOOKUP(C849,'Field Layout'!$B$9:$AJ$35,MATCH(Index!B849,'Field Layout'!$B$8:$AJ$8,0),FALSE)</f>
        <v>2159</v>
      </c>
      <c r="B849">
        <v>32</v>
      </c>
      <c r="C849">
        <v>11</v>
      </c>
      <c r="D849">
        <v>150</v>
      </c>
      <c r="E849">
        <v>2</v>
      </c>
      <c r="F849" t="s">
        <v>628</v>
      </c>
      <c r="G849" t="s">
        <v>629</v>
      </c>
    </row>
    <row r="850" spans="1:7" x14ac:dyDescent="0.45">
      <c r="A850">
        <f>VLOOKUP(C850,'Field Layout'!$B$9:$AJ$35,MATCH(Index!B850,'Field Layout'!$B$8:$AJ$8,0),FALSE)</f>
        <v>2175</v>
      </c>
      <c r="B850">
        <v>32</v>
      </c>
      <c r="C850">
        <v>12</v>
      </c>
      <c r="D850">
        <v>150</v>
      </c>
      <c r="E850">
        <v>2</v>
      </c>
      <c r="F850" t="s">
        <v>770</v>
      </c>
      <c r="G850" t="s">
        <v>771</v>
      </c>
    </row>
    <row r="851" spans="1:7" x14ac:dyDescent="0.45">
      <c r="A851">
        <f>VLOOKUP(C851,'Field Layout'!$B$9:$AJ$35,MATCH(Index!B851,'Field Layout'!$B$8:$AJ$8,0),FALSE)</f>
        <v>2191</v>
      </c>
      <c r="B851">
        <v>32</v>
      </c>
      <c r="C851">
        <v>13</v>
      </c>
      <c r="D851">
        <v>150</v>
      </c>
      <c r="E851">
        <v>2</v>
      </c>
      <c r="F851" t="s">
        <v>582</v>
      </c>
      <c r="G851" t="s">
        <v>583</v>
      </c>
    </row>
    <row r="852" spans="1:7" x14ac:dyDescent="0.45">
      <c r="A852">
        <f>VLOOKUP(C852,'Field Layout'!$B$9:$AJ$35,MATCH(Index!B852,'Field Layout'!$B$8:$AJ$8,0),FALSE)</f>
        <v>2207</v>
      </c>
      <c r="B852">
        <v>32</v>
      </c>
      <c r="C852">
        <v>14</v>
      </c>
      <c r="D852">
        <v>150</v>
      </c>
      <c r="E852">
        <v>2</v>
      </c>
      <c r="F852" t="s">
        <v>548</v>
      </c>
      <c r="G852" t="s">
        <v>549</v>
      </c>
    </row>
    <row r="853" spans="1:7" x14ac:dyDescent="0.45">
      <c r="A853">
        <f>VLOOKUP(C853,'Field Layout'!$B$9:$AJ$35,MATCH(Index!B853,'Field Layout'!$B$8:$AJ$8,0),FALSE)</f>
        <v>2223</v>
      </c>
      <c r="B853">
        <v>32</v>
      </c>
      <c r="C853">
        <v>15</v>
      </c>
      <c r="D853">
        <v>150</v>
      </c>
      <c r="E853">
        <v>2</v>
      </c>
      <c r="F853" t="s">
        <v>102</v>
      </c>
      <c r="G853" t="s">
        <v>103</v>
      </c>
    </row>
    <row r="854" spans="1:7" x14ac:dyDescent="0.45">
      <c r="A854">
        <f>VLOOKUP(C854,'Field Layout'!$B$9:$AJ$35,MATCH(Index!B854,'Field Layout'!$B$8:$AJ$8,0),FALSE)</f>
        <v>2239</v>
      </c>
      <c r="B854">
        <v>32</v>
      </c>
      <c r="C854">
        <v>16</v>
      </c>
      <c r="D854">
        <v>150</v>
      </c>
      <c r="E854">
        <v>2</v>
      </c>
      <c r="F854" t="s">
        <v>680</v>
      </c>
      <c r="G854" t="s">
        <v>681</v>
      </c>
    </row>
    <row r="855" spans="1:7" x14ac:dyDescent="0.45">
      <c r="A855">
        <f>VLOOKUP(C855,'Field Layout'!$B$9:$AJ$35,MATCH(Index!B855,'Field Layout'!$B$8:$AJ$8,0),FALSE)</f>
        <v>2255</v>
      </c>
      <c r="B855">
        <v>32</v>
      </c>
      <c r="C855">
        <v>17</v>
      </c>
      <c r="D855">
        <v>150</v>
      </c>
      <c r="E855">
        <v>2</v>
      </c>
      <c r="F855" t="s">
        <v>374</v>
      </c>
      <c r="G855" t="s">
        <v>375</v>
      </c>
    </row>
    <row r="856" spans="1:7" x14ac:dyDescent="0.45">
      <c r="A856">
        <f>VLOOKUP(C856,'Field Layout'!$B$9:$AJ$35,MATCH(Index!B856,'Field Layout'!$B$8:$AJ$8,0),FALSE)</f>
        <v>2271</v>
      </c>
      <c r="B856">
        <v>32</v>
      </c>
      <c r="C856">
        <v>18</v>
      </c>
      <c r="D856">
        <v>150</v>
      </c>
      <c r="E856">
        <v>2</v>
      </c>
      <c r="F856" t="s">
        <v>650</v>
      </c>
      <c r="G856" t="s">
        <v>651</v>
      </c>
    </row>
    <row r="857" spans="1:7" x14ac:dyDescent="0.45">
      <c r="A857">
        <f>VLOOKUP(C857,'Field Layout'!$B$9:$AJ$35,MATCH(Index!B857,'Field Layout'!$B$8:$AJ$8,0),FALSE)</f>
        <v>2287</v>
      </c>
      <c r="B857">
        <v>32</v>
      </c>
      <c r="C857">
        <v>19</v>
      </c>
      <c r="D857">
        <v>150</v>
      </c>
      <c r="E857">
        <v>2</v>
      </c>
      <c r="F857" t="s">
        <v>744</v>
      </c>
      <c r="G857" t="s">
        <v>745</v>
      </c>
    </row>
    <row r="858" spans="1:7" x14ac:dyDescent="0.45">
      <c r="A858">
        <f>VLOOKUP(C858,'Field Layout'!$B$9:$AJ$35,MATCH(Index!B858,'Field Layout'!$B$8:$AJ$8,0),FALSE)</f>
        <v>2303</v>
      </c>
      <c r="B858">
        <v>32</v>
      </c>
      <c r="C858">
        <v>20</v>
      </c>
      <c r="D858">
        <v>150</v>
      </c>
      <c r="E858">
        <v>2</v>
      </c>
      <c r="F858" t="s">
        <v>118</v>
      </c>
      <c r="G858" t="s">
        <v>119</v>
      </c>
    </row>
    <row r="859" spans="1:7" x14ac:dyDescent="0.45">
      <c r="A859">
        <f>VLOOKUP(C859,'Field Layout'!$B$9:$AJ$35,MATCH(Index!B859,'Field Layout'!$B$8:$AJ$8,0),FALSE)</f>
        <v>2319</v>
      </c>
      <c r="B859">
        <v>32</v>
      </c>
      <c r="C859">
        <v>21</v>
      </c>
      <c r="D859">
        <v>150</v>
      </c>
      <c r="E859">
        <v>2</v>
      </c>
      <c r="F859" t="s">
        <v>608</v>
      </c>
      <c r="G859" t="s">
        <v>609</v>
      </c>
    </row>
    <row r="860" spans="1:7" x14ac:dyDescent="0.45">
      <c r="A860">
        <f>VLOOKUP(C860,'Field Layout'!$B$9:$AJ$35,MATCH(Index!B860,'Field Layout'!$B$8:$AJ$8,0),FALSE)</f>
        <v>2335</v>
      </c>
      <c r="B860">
        <v>32</v>
      </c>
      <c r="C860">
        <v>22</v>
      </c>
      <c r="D860">
        <v>150</v>
      </c>
      <c r="E860">
        <v>2</v>
      </c>
      <c r="F860" t="s">
        <v>742</v>
      </c>
      <c r="G860" t="s">
        <v>743</v>
      </c>
    </row>
    <row r="861" spans="1:7" x14ac:dyDescent="0.45">
      <c r="A861">
        <f>VLOOKUP(C861,'Field Layout'!$B$9:$AJ$35,MATCH(Index!B861,'Field Layout'!$B$8:$AJ$8,0),FALSE)</f>
        <v>2351</v>
      </c>
      <c r="B861">
        <v>32</v>
      </c>
      <c r="C861">
        <v>23</v>
      </c>
      <c r="D861">
        <v>150</v>
      </c>
      <c r="E861">
        <v>2</v>
      </c>
      <c r="F861" t="s">
        <v>118</v>
      </c>
      <c r="G861" t="s">
        <v>119</v>
      </c>
    </row>
    <row r="862" spans="1:7" x14ac:dyDescent="0.45">
      <c r="A862">
        <f>VLOOKUP(C862,'Field Layout'!$B$9:$AJ$35,MATCH(Index!B862,'Field Layout'!$B$8:$AJ$8,0),FALSE)</f>
        <v>2367</v>
      </c>
      <c r="B862">
        <v>32</v>
      </c>
      <c r="C862">
        <v>24</v>
      </c>
      <c r="D862">
        <v>150</v>
      </c>
      <c r="E862">
        <v>2</v>
      </c>
      <c r="F862" t="s">
        <v>308</v>
      </c>
      <c r="G862" t="s">
        <v>309</v>
      </c>
    </row>
    <row r="863" spans="1:7" x14ac:dyDescent="0.45">
      <c r="A863">
        <f>VLOOKUP(C863,'Field Layout'!$B$9:$AJ$35,MATCH(Index!B863,'Field Layout'!$B$8:$AJ$8,0),FALSE)</f>
        <v>2383</v>
      </c>
      <c r="B863">
        <v>32</v>
      </c>
      <c r="C863">
        <v>25</v>
      </c>
      <c r="D863">
        <v>150</v>
      </c>
      <c r="E863">
        <v>2</v>
      </c>
      <c r="F863" t="s">
        <v>531</v>
      </c>
      <c r="G863" t="s">
        <v>532</v>
      </c>
    </row>
    <row r="864" spans="1:7" x14ac:dyDescent="0.45">
      <c r="A864">
        <f>VLOOKUP(C864,'Field Layout'!$B$9:$AJ$35,MATCH(Index!B864,'Field Layout'!$B$8:$AJ$8,0),FALSE)</f>
        <v>2399</v>
      </c>
      <c r="B864">
        <v>32</v>
      </c>
      <c r="C864">
        <v>26</v>
      </c>
      <c r="D864">
        <v>150</v>
      </c>
      <c r="E864">
        <v>2</v>
      </c>
      <c r="F864" t="s">
        <v>94</v>
      </c>
      <c r="G864" t="e">
        <v>#N/A</v>
      </c>
    </row>
    <row r="865" spans="1:7" x14ac:dyDescent="0.45">
      <c r="A865" t="str">
        <f>VLOOKUP(C865,'Field Layout'!$B$9:$AJ$35,MATCH(Index!B865,'Field Layout'!$B$8:$AJ$8,0),FALSE)</f>
        <v>Border</v>
      </c>
      <c r="B865">
        <v>32</v>
      </c>
      <c r="C865">
        <v>27</v>
      </c>
      <c r="D865">
        <v>150</v>
      </c>
      <c r="E865" t="s">
        <v>54</v>
      </c>
      <c r="F865" t="s">
        <v>92</v>
      </c>
      <c r="G865" t="s">
        <v>99</v>
      </c>
    </row>
    <row r="866" spans="1:7" x14ac:dyDescent="0.45">
      <c r="A866" t="str">
        <f>VLOOKUP(C866,'Field Layout'!$B$9:$AJ$35,MATCH(Index!B866,'Field Layout'!$B$8:$AJ$8,0),FALSE)</f>
        <v>Border</v>
      </c>
      <c r="B866">
        <v>33</v>
      </c>
      <c r="C866">
        <v>1</v>
      </c>
      <c r="D866">
        <v>150</v>
      </c>
      <c r="E866" t="s">
        <v>54</v>
      </c>
      <c r="F866" t="s">
        <v>92</v>
      </c>
      <c r="G866" t="s">
        <v>99</v>
      </c>
    </row>
    <row r="867" spans="1:7" x14ac:dyDescent="0.45">
      <c r="A867">
        <f>VLOOKUP(C867,'Field Layout'!$B$9:$AJ$35,MATCH(Index!B867,'Field Layout'!$B$8:$AJ$8,0),FALSE)</f>
        <v>2016</v>
      </c>
      <c r="B867">
        <v>33</v>
      </c>
      <c r="C867">
        <v>2</v>
      </c>
      <c r="D867">
        <v>150</v>
      </c>
      <c r="E867">
        <v>2</v>
      </c>
      <c r="F867" t="s">
        <v>668</v>
      </c>
      <c r="G867" t="s">
        <v>669</v>
      </c>
    </row>
    <row r="868" spans="1:7" x14ac:dyDescent="0.45">
      <c r="A868">
        <f>VLOOKUP(C868,'Field Layout'!$B$9:$AJ$35,MATCH(Index!B868,'Field Layout'!$B$8:$AJ$8,0),FALSE)</f>
        <v>2032</v>
      </c>
      <c r="B868">
        <v>33</v>
      </c>
      <c r="C868">
        <v>3</v>
      </c>
      <c r="D868">
        <v>150</v>
      </c>
      <c r="E868">
        <v>2</v>
      </c>
      <c r="F868" t="s">
        <v>623</v>
      </c>
      <c r="G868" t="s">
        <v>119</v>
      </c>
    </row>
    <row r="869" spans="1:7" x14ac:dyDescent="0.45">
      <c r="A869">
        <f>VLOOKUP(C869,'Field Layout'!$B$9:$AJ$35,MATCH(Index!B869,'Field Layout'!$B$8:$AJ$8,0),FALSE)</f>
        <v>2048</v>
      </c>
      <c r="B869">
        <v>33</v>
      </c>
      <c r="C869">
        <v>4</v>
      </c>
      <c r="D869">
        <v>150</v>
      </c>
      <c r="E869">
        <v>2</v>
      </c>
      <c r="F869" t="s">
        <v>622</v>
      </c>
      <c r="G869" t="s">
        <v>119</v>
      </c>
    </row>
    <row r="870" spans="1:7" x14ac:dyDescent="0.45">
      <c r="A870">
        <f>VLOOKUP(C870,'Field Layout'!$B$9:$AJ$35,MATCH(Index!B870,'Field Layout'!$B$8:$AJ$8,0),FALSE)</f>
        <v>2064</v>
      </c>
      <c r="B870">
        <v>33</v>
      </c>
      <c r="C870">
        <v>5</v>
      </c>
      <c r="D870">
        <v>150</v>
      </c>
      <c r="E870">
        <v>2</v>
      </c>
      <c r="F870" t="s">
        <v>598</v>
      </c>
      <c r="G870" t="s">
        <v>599</v>
      </c>
    </row>
    <row r="871" spans="1:7" x14ac:dyDescent="0.45">
      <c r="A871">
        <f>VLOOKUP(C871,'Field Layout'!$B$9:$AJ$35,MATCH(Index!B871,'Field Layout'!$B$8:$AJ$8,0),FALSE)</f>
        <v>2080</v>
      </c>
      <c r="B871">
        <v>33</v>
      </c>
      <c r="C871">
        <v>6</v>
      </c>
      <c r="D871">
        <v>150</v>
      </c>
      <c r="E871">
        <v>2</v>
      </c>
      <c r="F871" t="s">
        <v>728</v>
      </c>
      <c r="G871" t="s">
        <v>729</v>
      </c>
    </row>
    <row r="872" spans="1:7" x14ac:dyDescent="0.45">
      <c r="A872">
        <f>VLOOKUP(C872,'Field Layout'!$B$9:$AJ$35,MATCH(Index!B872,'Field Layout'!$B$8:$AJ$8,0),FALSE)</f>
        <v>2096</v>
      </c>
      <c r="B872">
        <v>33</v>
      </c>
      <c r="C872">
        <v>7</v>
      </c>
      <c r="D872">
        <v>150</v>
      </c>
      <c r="E872">
        <v>2</v>
      </c>
      <c r="F872" t="s">
        <v>209</v>
      </c>
      <c r="G872" t="s">
        <v>210</v>
      </c>
    </row>
    <row r="873" spans="1:7" x14ac:dyDescent="0.45">
      <c r="A873">
        <f>VLOOKUP(C873,'Field Layout'!$B$9:$AJ$35,MATCH(Index!B873,'Field Layout'!$B$8:$AJ$8,0),FALSE)</f>
        <v>2112</v>
      </c>
      <c r="B873">
        <v>33</v>
      </c>
      <c r="C873">
        <v>8</v>
      </c>
      <c r="D873">
        <v>150</v>
      </c>
      <c r="E873">
        <v>2</v>
      </c>
      <c r="F873" t="s">
        <v>558</v>
      </c>
      <c r="G873" t="s">
        <v>559</v>
      </c>
    </row>
    <row r="874" spans="1:7" x14ac:dyDescent="0.45">
      <c r="A874">
        <f>VLOOKUP(C874,'Field Layout'!$B$9:$AJ$35,MATCH(Index!B874,'Field Layout'!$B$8:$AJ$8,0),FALSE)</f>
        <v>2128</v>
      </c>
      <c r="B874">
        <v>33</v>
      </c>
      <c r="C874">
        <v>9</v>
      </c>
      <c r="D874">
        <v>150</v>
      </c>
      <c r="E874">
        <v>2</v>
      </c>
      <c r="F874" t="s">
        <v>518</v>
      </c>
      <c r="G874" t="s">
        <v>519</v>
      </c>
    </row>
    <row r="875" spans="1:7" x14ac:dyDescent="0.45">
      <c r="A875">
        <f>VLOOKUP(C875,'Field Layout'!$B$9:$AJ$35,MATCH(Index!B875,'Field Layout'!$B$8:$AJ$8,0),FALSE)</f>
        <v>2144</v>
      </c>
      <c r="B875">
        <v>33</v>
      </c>
      <c r="C875">
        <v>10</v>
      </c>
      <c r="D875">
        <v>150</v>
      </c>
      <c r="E875">
        <v>2</v>
      </c>
      <c r="F875" t="s">
        <v>289</v>
      </c>
      <c r="G875" t="s">
        <v>290</v>
      </c>
    </row>
    <row r="876" spans="1:7" x14ac:dyDescent="0.45">
      <c r="A876">
        <f>VLOOKUP(C876,'Field Layout'!$B$9:$AJ$35,MATCH(Index!B876,'Field Layout'!$B$8:$AJ$8,0),FALSE)</f>
        <v>2160</v>
      </c>
      <c r="B876">
        <v>33</v>
      </c>
      <c r="C876">
        <v>11</v>
      </c>
      <c r="D876">
        <v>150</v>
      </c>
      <c r="E876">
        <v>2</v>
      </c>
      <c r="F876" t="s">
        <v>720</v>
      </c>
      <c r="G876" t="s">
        <v>721</v>
      </c>
    </row>
    <row r="877" spans="1:7" x14ac:dyDescent="0.45">
      <c r="A877">
        <f>VLOOKUP(C877,'Field Layout'!$B$9:$AJ$35,MATCH(Index!B877,'Field Layout'!$B$8:$AJ$8,0),FALSE)</f>
        <v>2176</v>
      </c>
      <c r="B877">
        <v>33</v>
      </c>
      <c r="C877">
        <v>12</v>
      </c>
      <c r="D877">
        <v>150</v>
      </c>
      <c r="E877">
        <v>2</v>
      </c>
      <c r="F877" t="s">
        <v>718</v>
      </c>
      <c r="G877" t="s">
        <v>719</v>
      </c>
    </row>
    <row r="878" spans="1:7" x14ac:dyDescent="0.45">
      <c r="A878">
        <f>VLOOKUP(C878,'Field Layout'!$B$9:$AJ$35,MATCH(Index!B878,'Field Layout'!$B$8:$AJ$8,0),FALSE)</f>
        <v>2192</v>
      </c>
      <c r="B878">
        <v>33</v>
      </c>
      <c r="C878">
        <v>13</v>
      </c>
      <c r="D878">
        <v>150</v>
      </c>
      <c r="E878">
        <v>2</v>
      </c>
      <c r="F878" t="s">
        <v>368</v>
      </c>
      <c r="G878" t="s">
        <v>369</v>
      </c>
    </row>
    <row r="879" spans="1:7" x14ac:dyDescent="0.45">
      <c r="A879">
        <f>VLOOKUP(C879,'Field Layout'!$B$9:$AJ$35,MATCH(Index!B879,'Field Layout'!$B$8:$AJ$8,0),FALSE)</f>
        <v>2208</v>
      </c>
      <c r="B879">
        <v>33</v>
      </c>
      <c r="C879">
        <v>14</v>
      </c>
      <c r="D879">
        <v>150</v>
      </c>
      <c r="E879">
        <v>2</v>
      </c>
      <c r="F879" t="s">
        <v>307</v>
      </c>
      <c r="G879" t="s">
        <v>119</v>
      </c>
    </row>
    <row r="880" spans="1:7" x14ac:dyDescent="0.45">
      <c r="A880">
        <f>VLOOKUP(C880,'Field Layout'!$B$9:$AJ$35,MATCH(Index!B880,'Field Layout'!$B$8:$AJ$8,0),FALSE)</f>
        <v>2224</v>
      </c>
      <c r="B880">
        <v>33</v>
      </c>
      <c r="C880">
        <v>15</v>
      </c>
      <c r="D880">
        <v>150</v>
      </c>
      <c r="E880">
        <v>2</v>
      </c>
      <c r="F880" t="s">
        <v>279</v>
      </c>
      <c r="G880" t="s">
        <v>280</v>
      </c>
    </row>
    <row r="881" spans="1:7" x14ac:dyDescent="0.45">
      <c r="A881">
        <f>VLOOKUP(C881,'Field Layout'!$B$9:$AJ$35,MATCH(Index!B881,'Field Layout'!$B$8:$AJ$8,0),FALSE)</f>
        <v>2240</v>
      </c>
      <c r="B881">
        <v>33</v>
      </c>
      <c r="C881">
        <v>16</v>
      </c>
      <c r="D881">
        <v>150</v>
      </c>
      <c r="E881">
        <v>2</v>
      </c>
      <c r="F881" t="s">
        <v>768</v>
      </c>
      <c r="G881" t="s">
        <v>769</v>
      </c>
    </row>
    <row r="882" spans="1:7" x14ac:dyDescent="0.45">
      <c r="A882">
        <f>VLOOKUP(C882,'Field Layout'!$B$9:$AJ$35,MATCH(Index!B882,'Field Layout'!$B$8:$AJ$8,0),FALSE)</f>
        <v>2256</v>
      </c>
      <c r="B882">
        <v>33</v>
      </c>
      <c r="C882">
        <v>17</v>
      </c>
      <c r="D882">
        <v>150</v>
      </c>
      <c r="E882">
        <v>2</v>
      </c>
      <c r="F882" t="s">
        <v>468</v>
      </c>
      <c r="G882" t="s">
        <v>469</v>
      </c>
    </row>
    <row r="883" spans="1:7" x14ac:dyDescent="0.45">
      <c r="A883">
        <f>VLOOKUP(C883,'Field Layout'!$B$9:$AJ$35,MATCH(Index!B883,'Field Layout'!$B$8:$AJ$8,0),FALSE)</f>
        <v>2272</v>
      </c>
      <c r="B883">
        <v>33</v>
      </c>
      <c r="C883">
        <v>18</v>
      </c>
      <c r="D883">
        <v>150</v>
      </c>
      <c r="E883">
        <v>2</v>
      </c>
      <c r="F883" t="s">
        <v>118</v>
      </c>
      <c r="G883" t="s">
        <v>119</v>
      </c>
    </row>
    <row r="884" spans="1:7" x14ac:dyDescent="0.45">
      <c r="A884">
        <f>VLOOKUP(C884,'Field Layout'!$B$9:$AJ$35,MATCH(Index!B884,'Field Layout'!$B$8:$AJ$8,0),FALSE)</f>
        <v>2288</v>
      </c>
      <c r="B884">
        <v>33</v>
      </c>
      <c r="C884">
        <v>19</v>
      </c>
      <c r="D884">
        <v>150</v>
      </c>
      <c r="E884">
        <v>2</v>
      </c>
      <c r="F884" t="s">
        <v>355</v>
      </c>
      <c r="G884" t="s">
        <v>356</v>
      </c>
    </row>
    <row r="885" spans="1:7" x14ac:dyDescent="0.45">
      <c r="A885">
        <f>VLOOKUP(C885,'Field Layout'!$B$9:$AJ$35,MATCH(Index!B885,'Field Layout'!$B$8:$AJ$8,0),FALSE)</f>
        <v>2304</v>
      </c>
      <c r="B885">
        <v>33</v>
      </c>
      <c r="C885">
        <v>20</v>
      </c>
      <c r="D885">
        <v>150</v>
      </c>
      <c r="E885">
        <v>2</v>
      </c>
      <c r="F885" t="s">
        <v>792</v>
      </c>
      <c r="G885" t="s">
        <v>793</v>
      </c>
    </row>
    <row r="886" spans="1:7" x14ac:dyDescent="0.45">
      <c r="A886">
        <f>VLOOKUP(C886,'Field Layout'!$B$9:$AJ$35,MATCH(Index!B886,'Field Layout'!$B$8:$AJ$8,0),FALSE)</f>
        <v>2320</v>
      </c>
      <c r="B886">
        <v>33</v>
      </c>
      <c r="C886">
        <v>21</v>
      </c>
      <c r="D886">
        <v>150</v>
      </c>
      <c r="E886">
        <v>2</v>
      </c>
      <c r="F886" t="s">
        <v>442</v>
      </c>
      <c r="G886" t="s">
        <v>443</v>
      </c>
    </row>
    <row r="887" spans="1:7" x14ac:dyDescent="0.45">
      <c r="A887">
        <f>VLOOKUP(C887,'Field Layout'!$B$9:$AJ$35,MATCH(Index!B887,'Field Layout'!$B$8:$AJ$8,0),FALSE)</f>
        <v>2336</v>
      </c>
      <c r="B887">
        <v>33</v>
      </c>
      <c r="C887">
        <v>22</v>
      </c>
      <c r="D887">
        <v>150</v>
      </c>
      <c r="E887">
        <v>2</v>
      </c>
      <c r="F887" t="s">
        <v>652</v>
      </c>
      <c r="G887" t="s">
        <v>653</v>
      </c>
    </row>
    <row r="888" spans="1:7" x14ac:dyDescent="0.45">
      <c r="A888">
        <f>VLOOKUP(C888,'Field Layout'!$B$9:$AJ$35,MATCH(Index!B888,'Field Layout'!$B$8:$AJ$8,0),FALSE)</f>
        <v>2352</v>
      </c>
      <c r="B888">
        <v>33</v>
      </c>
      <c r="C888">
        <v>23</v>
      </c>
      <c r="D888">
        <v>150</v>
      </c>
      <c r="E888">
        <v>2</v>
      </c>
      <c r="F888" t="s">
        <v>312</v>
      </c>
      <c r="G888" t="s">
        <v>313</v>
      </c>
    </row>
    <row r="889" spans="1:7" x14ac:dyDescent="0.45">
      <c r="A889">
        <f>VLOOKUP(C889,'Field Layout'!$B$9:$AJ$35,MATCH(Index!B889,'Field Layout'!$B$8:$AJ$8,0),FALSE)</f>
        <v>2368</v>
      </c>
      <c r="B889">
        <v>33</v>
      </c>
      <c r="C889">
        <v>24</v>
      </c>
      <c r="D889">
        <v>150</v>
      </c>
      <c r="E889">
        <v>2</v>
      </c>
      <c r="F889" t="s">
        <v>225</v>
      </c>
      <c r="G889" t="s">
        <v>226</v>
      </c>
    </row>
    <row r="890" spans="1:7" x14ac:dyDescent="0.45">
      <c r="A890">
        <f>VLOOKUP(C890,'Field Layout'!$B$9:$AJ$35,MATCH(Index!B890,'Field Layout'!$B$8:$AJ$8,0),FALSE)</f>
        <v>2384</v>
      </c>
      <c r="B890">
        <v>33</v>
      </c>
      <c r="C890">
        <v>25</v>
      </c>
      <c r="D890">
        <v>150</v>
      </c>
      <c r="E890">
        <v>2</v>
      </c>
      <c r="F890" t="s">
        <v>142</v>
      </c>
      <c r="G890" t="s">
        <v>143</v>
      </c>
    </row>
    <row r="891" spans="1:7" x14ac:dyDescent="0.45">
      <c r="A891">
        <f>VLOOKUP(C891,'Field Layout'!$B$9:$AJ$35,MATCH(Index!B891,'Field Layout'!$B$8:$AJ$8,0),FALSE)</f>
        <v>2400</v>
      </c>
      <c r="B891">
        <v>33</v>
      </c>
      <c r="C891">
        <v>26</v>
      </c>
      <c r="D891">
        <v>150</v>
      </c>
      <c r="E891">
        <v>2</v>
      </c>
      <c r="F891" t="s">
        <v>94</v>
      </c>
      <c r="G891" t="e">
        <v>#N/A</v>
      </c>
    </row>
    <row r="892" spans="1:7" x14ac:dyDescent="0.45">
      <c r="A892" t="str">
        <f>VLOOKUP(C892,'Field Layout'!$B$9:$AJ$35,MATCH(Index!B892,'Field Layout'!$B$8:$AJ$8,0),FALSE)</f>
        <v>Border</v>
      </c>
      <c r="B892">
        <v>33</v>
      </c>
      <c r="C892">
        <v>27</v>
      </c>
      <c r="D892">
        <v>150</v>
      </c>
      <c r="E892" t="s">
        <v>54</v>
      </c>
      <c r="F892" t="s">
        <v>92</v>
      </c>
      <c r="G892" t="s">
        <v>99</v>
      </c>
    </row>
    <row r="893" spans="1:7" x14ac:dyDescent="0.45">
      <c r="A893" t="str">
        <f>VLOOKUP(C893,'Field Layout'!$B$9:$AJ$35,MATCH(Index!B893,'Field Layout'!$B$8:$AJ$8,0),FALSE)</f>
        <v>Border</v>
      </c>
      <c r="B893">
        <v>34</v>
      </c>
      <c r="C893">
        <v>1</v>
      </c>
      <c r="D893">
        <v>150</v>
      </c>
      <c r="E893" t="s">
        <v>54</v>
      </c>
      <c r="F893" t="s">
        <v>92</v>
      </c>
      <c r="G893" t="s">
        <v>99</v>
      </c>
    </row>
    <row r="894" spans="1:7" x14ac:dyDescent="0.45">
      <c r="A894" t="str">
        <f>VLOOKUP(C894,'Field Layout'!$B$9:$AJ$35,MATCH(Index!B894,'Field Layout'!$B$8:$AJ$8,0),FALSE)</f>
        <v>Border</v>
      </c>
      <c r="B894">
        <v>34</v>
      </c>
      <c r="C894">
        <v>2</v>
      </c>
      <c r="D894">
        <v>150</v>
      </c>
      <c r="E894" t="s">
        <v>54</v>
      </c>
      <c r="F894" t="s">
        <v>92</v>
      </c>
      <c r="G894" t="s">
        <v>99</v>
      </c>
    </row>
    <row r="895" spans="1:7" x14ac:dyDescent="0.45">
      <c r="A895" t="str">
        <f>VLOOKUP(C895,'Field Layout'!$B$9:$AJ$35,MATCH(Index!B895,'Field Layout'!$B$8:$AJ$8,0),FALSE)</f>
        <v>Border</v>
      </c>
      <c r="B895">
        <v>34</v>
      </c>
      <c r="C895">
        <v>3</v>
      </c>
      <c r="D895">
        <v>150</v>
      </c>
      <c r="E895" t="s">
        <v>54</v>
      </c>
      <c r="F895" t="s">
        <v>92</v>
      </c>
      <c r="G895" t="s">
        <v>99</v>
      </c>
    </row>
    <row r="896" spans="1:7" x14ac:dyDescent="0.45">
      <c r="A896" t="str">
        <f>VLOOKUP(C896,'Field Layout'!$B$9:$AJ$35,MATCH(Index!B896,'Field Layout'!$B$8:$AJ$8,0),FALSE)</f>
        <v>Border</v>
      </c>
      <c r="B896">
        <v>34</v>
      </c>
      <c r="C896">
        <v>4</v>
      </c>
      <c r="D896">
        <v>150</v>
      </c>
      <c r="E896" t="s">
        <v>54</v>
      </c>
      <c r="F896" t="s">
        <v>92</v>
      </c>
      <c r="G896" t="s">
        <v>99</v>
      </c>
    </row>
    <row r="897" spans="1:7" x14ac:dyDescent="0.45">
      <c r="A897" t="str">
        <f>VLOOKUP(C897,'Field Layout'!$B$9:$AJ$35,MATCH(Index!B897,'Field Layout'!$B$8:$AJ$8,0),FALSE)</f>
        <v>Border</v>
      </c>
      <c r="B897">
        <v>34</v>
      </c>
      <c r="C897">
        <v>5</v>
      </c>
      <c r="D897">
        <v>150</v>
      </c>
      <c r="E897" t="s">
        <v>54</v>
      </c>
      <c r="F897" t="s">
        <v>92</v>
      </c>
      <c r="G897" t="s">
        <v>99</v>
      </c>
    </row>
    <row r="898" spans="1:7" x14ac:dyDescent="0.45">
      <c r="A898" t="str">
        <f>VLOOKUP(C898,'Field Layout'!$B$9:$AJ$35,MATCH(Index!B898,'Field Layout'!$B$8:$AJ$8,0),FALSE)</f>
        <v>Border</v>
      </c>
      <c r="B898">
        <v>34</v>
      </c>
      <c r="C898">
        <v>6</v>
      </c>
      <c r="D898">
        <v>150</v>
      </c>
      <c r="E898" t="s">
        <v>54</v>
      </c>
      <c r="F898" t="s">
        <v>92</v>
      </c>
      <c r="G898" t="s">
        <v>99</v>
      </c>
    </row>
    <row r="899" spans="1:7" x14ac:dyDescent="0.45">
      <c r="A899" t="str">
        <f>VLOOKUP(C899,'Field Layout'!$B$9:$AJ$35,MATCH(Index!B899,'Field Layout'!$B$8:$AJ$8,0),FALSE)</f>
        <v>Border</v>
      </c>
      <c r="B899">
        <v>34</v>
      </c>
      <c r="C899">
        <v>7</v>
      </c>
      <c r="D899">
        <v>150</v>
      </c>
      <c r="E899" t="s">
        <v>54</v>
      </c>
      <c r="F899" t="s">
        <v>92</v>
      </c>
      <c r="G899" t="s">
        <v>99</v>
      </c>
    </row>
    <row r="900" spans="1:7" x14ac:dyDescent="0.45">
      <c r="A900" t="str">
        <f>VLOOKUP(C900,'Field Layout'!$B$9:$AJ$35,MATCH(Index!B900,'Field Layout'!$B$8:$AJ$8,0),FALSE)</f>
        <v>Border</v>
      </c>
      <c r="B900">
        <v>34</v>
      </c>
      <c r="C900">
        <v>8</v>
      </c>
      <c r="D900">
        <v>150</v>
      </c>
      <c r="E900" t="s">
        <v>54</v>
      </c>
      <c r="F900" t="s">
        <v>92</v>
      </c>
      <c r="G900" t="s">
        <v>99</v>
      </c>
    </row>
    <row r="901" spans="1:7" x14ac:dyDescent="0.45">
      <c r="A901" t="str">
        <f>VLOOKUP(C901,'Field Layout'!$B$9:$AJ$35,MATCH(Index!B901,'Field Layout'!$B$8:$AJ$8,0),FALSE)</f>
        <v>Border</v>
      </c>
      <c r="B901">
        <v>34</v>
      </c>
      <c r="C901">
        <v>9</v>
      </c>
      <c r="D901">
        <v>150</v>
      </c>
      <c r="E901" t="s">
        <v>54</v>
      </c>
      <c r="F901" t="s">
        <v>92</v>
      </c>
      <c r="G901" t="s">
        <v>99</v>
      </c>
    </row>
    <row r="902" spans="1:7" x14ac:dyDescent="0.45">
      <c r="A902" t="str">
        <f>VLOOKUP(C902,'Field Layout'!$B$9:$AJ$35,MATCH(Index!B902,'Field Layout'!$B$8:$AJ$8,0),FALSE)</f>
        <v>Border</v>
      </c>
      <c r="B902">
        <v>34</v>
      </c>
      <c r="C902">
        <v>10</v>
      </c>
      <c r="D902">
        <v>150</v>
      </c>
      <c r="E902" t="s">
        <v>54</v>
      </c>
      <c r="F902" t="s">
        <v>92</v>
      </c>
      <c r="G902" t="s">
        <v>99</v>
      </c>
    </row>
    <row r="903" spans="1:7" x14ac:dyDescent="0.45">
      <c r="A903" t="str">
        <f>VLOOKUP(C903,'Field Layout'!$B$9:$AJ$35,MATCH(Index!B903,'Field Layout'!$B$8:$AJ$8,0),FALSE)</f>
        <v>Border</v>
      </c>
      <c r="B903">
        <v>34</v>
      </c>
      <c r="C903">
        <v>11</v>
      </c>
      <c r="D903">
        <v>150</v>
      </c>
      <c r="E903" t="s">
        <v>54</v>
      </c>
      <c r="F903" t="s">
        <v>92</v>
      </c>
      <c r="G903" t="s">
        <v>99</v>
      </c>
    </row>
    <row r="904" spans="1:7" x14ac:dyDescent="0.45">
      <c r="A904" t="str">
        <f>VLOOKUP(C904,'Field Layout'!$B$9:$AJ$35,MATCH(Index!B904,'Field Layout'!$B$8:$AJ$8,0),FALSE)</f>
        <v>Border</v>
      </c>
      <c r="B904">
        <v>34</v>
      </c>
      <c r="C904">
        <v>12</v>
      </c>
      <c r="D904">
        <v>150</v>
      </c>
      <c r="E904" t="s">
        <v>54</v>
      </c>
      <c r="F904" t="s">
        <v>92</v>
      </c>
      <c r="G904" t="s">
        <v>99</v>
      </c>
    </row>
    <row r="905" spans="1:7" x14ac:dyDescent="0.45">
      <c r="A905" t="str">
        <f>VLOOKUP(C905,'Field Layout'!$B$9:$AJ$35,MATCH(Index!B905,'Field Layout'!$B$8:$AJ$8,0),FALSE)</f>
        <v>Border</v>
      </c>
      <c r="B905">
        <v>34</v>
      </c>
      <c r="C905">
        <v>13</v>
      </c>
      <c r="D905">
        <v>150</v>
      </c>
      <c r="E905" t="s">
        <v>54</v>
      </c>
      <c r="F905" t="s">
        <v>92</v>
      </c>
      <c r="G905" t="s">
        <v>99</v>
      </c>
    </row>
    <row r="906" spans="1:7" x14ac:dyDescent="0.45">
      <c r="A906" t="str">
        <f>VLOOKUP(C906,'Field Layout'!$B$9:$AJ$35,MATCH(Index!B906,'Field Layout'!$B$8:$AJ$8,0),FALSE)</f>
        <v>Border</v>
      </c>
      <c r="B906">
        <v>34</v>
      </c>
      <c r="C906">
        <v>14</v>
      </c>
      <c r="D906">
        <v>150</v>
      </c>
      <c r="E906" t="s">
        <v>54</v>
      </c>
      <c r="F906" t="s">
        <v>92</v>
      </c>
      <c r="G906" t="s">
        <v>99</v>
      </c>
    </row>
    <row r="907" spans="1:7" x14ac:dyDescent="0.45">
      <c r="A907" t="str">
        <f>VLOOKUP(C907,'Field Layout'!$B$9:$AJ$35,MATCH(Index!B907,'Field Layout'!$B$8:$AJ$8,0),FALSE)</f>
        <v>Border</v>
      </c>
      <c r="B907">
        <v>34</v>
      </c>
      <c r="C907">
        <v>15</v>
      </c>
      <c r="D907">
        <v>150</v>
      </c>
      <c r="E907" t="s">
        <v>54</v>
      </c>
      <c r="F907" t="s">
        <v>92</v>
      </c>
      <c r="G907" t="s">
        <v>99</v>
      </c>
    </row>
    <row r="908" spans="1:7" x14ac:dyDescent="0.45">
      <c r="A908" t="str">
        <f>VLOOKUP(C908,'Field Layout'!$B$9:$AJ$35,MATCH(Index!B908,'Field Layout'!$B$8:$AJ$8,0),FALSE)</f>
        <v>Border</v>
      </c>
      <c r="B908">
        <v>34</v>
      </c>
      <c r="C908">
        <v>16</v>
      </c>
      <c r="D908">
        <v>150</v>
      </c>
      <c r="E908" t="s">
        <v>54</v>
      </c>
      <c r="F908" t="s">
        <v>92</v>
      </c>
      <c r="G908" t="s">
        <v>99</v>
      </c>
    </row>
    <row r="909" spans="1:7" x14ac:dyDescent="0.45">
      <c r="A909" t="str">
        <f>VLOOKUP(C909,'Field Layout'!$B$9:$AJ$35,MATCH(Index!B909,'Field Layout'!$B$8:$AJ$8,0),FALSE)</f>
        <v>Border</v>
      </c>
      <c r="B909">
        <v>34</v>
      </c>
      <c r="C909">
        <v>17</v>
      </c>
      <c r="D909">
        <v>150</v>
      </c>
      <c r="E909" t="s">
        <v>54</v>
      </c>
      <c r="F909" t="s">
        <v>92</v>
      </c>
      <c r="G909" t="s">
        <v>99</v>
      </c>
    </row>
    <row r="910" spans="1:7" x14ac:dyDescent="0.45">
      <c r="A910" t="str">
        <f>VLOOKUP(C910,'Field Layout'!$B$9:$AJ$35,MATCH(Index!B910,'Field Layout'!$B$8:$AJ$8,0),FALSE)</f>
        <v>Border</v>
      </c>
      <c r="B910">
        <v>34</v>
      </c>
      <c r="C910">
        <v>18</v>
      </c>
      <c r="D910">
        <v>150</v>
      </c>
      <c r="E910" t="s">
        <v>54</v>
      </c>
      <c r="F910" t="s">
        <v>92</v>
      </c>
      <c r="G910" t="s">
        <v>99</v>
      </c>
    </row>
    <row r="911" spans="1:7" x14ac:dyDescent="0.45">
      <c r="A911" t="str">
        <f>VLOOKUP(C911,'Field Layout'!$B$9:$AJ$35,MATCH(Index!B911,'Field Layout'!$B$8:$AJ$8,0),FALSE)</f>
        <v>Border</v>
      </c>
      <c r="B911">
        <v>34</v>
      </c>
      <c r="C911">
        <v>19</v>
      </c>
      <c r="D911">
        <v>150</v>
      </c>
      <c r="E911" t="s">
        <v>54</v>
      </c>
      <c r="F911" t="s">
        <v>92</v>
      </c>
      <c r="G911" t="s">
        <v>99</v>
      </c>
    </row>
    <row r="912" spans="1:7" x14ac:dyDescent="0.45">
      <c r="A912" t="str">
        <f>VLOOKUP(C912,'Field Layout'!$B$9:$AJ$35,MATCH(Index!B912,'Field Layout'!$B$8:$AJ$8,0),FALSE)</f>
        <v>Border</v>
      </c>
      <c r="B912">
        <v>34</v>
      </c>
      <c r="C912">
        <v>20</v>
      </c>
      <c r="D912">
        <v>150</v>
      </c>
      <c r="E912" t="s">
        <v>54</v>
      </c>
      <c r="F912" t="s">
        <v>92</v>
      </c>
      <c r="G912" t="s">
        <v>99</v>
      </c>
    </row>
    <row r="913" spans="1:7" x14ac:dyDescent="0.45">
      <c r="A913" t="str">
        <f>VLOOKUP(C913,'Field Layout'!$B$9:$AJ$35,MATCH(Index!B913,'Field Layout'!$B$8:$AJ$8,0),FALSE)</f>
        <v>Border</v>
      </c>
      <c r="B913">
        <v>34</v>
      </c>
      <c r="C913">
        <v>21</v>
      </c>
      <c r="D913">
        <v>150</v>
      </c>
      <c r="E913" t="s">
        <v>54</v>
      </c>
      <c r="F913" t="s">
        <v>92</v>
      </c>
      <c r="G913" t="s">
        <v>99</v>
      </c>
    </row>
    <row r="914" spans="1:7" x14ac:dyDescent="0.45">
      <c r="A914" t="str">
        <f>VLOOKUP(C914,'Field Layout'!$B$9:$AJ$35,MATCH(Index!B914,'Field Layout'!$B$8:$AJ$8,0),FALSE)</f>
        <v>Border</v>
      </c>
      <c r="B914">
        <v>34</v>
      </c>
      <c r="C914">
        <v>22</v>
      </c>
      <c r="D914">
        <v>150</v>
      </c>
      <c r="E914" t="s">
        <v>54</v>
      </c>
      <c r="F914" t="s">
        <v>92</v>
      </c>
      <c r="G914" t="s">
        <v>99</v>
      </c>
    </row>
    <row r="915" spans="1:7" x14ac:dyDescent="0.45">
      <c r="A915" t="str">
        <f>VLOOKUP(C915,'Field Layout'!$B$9:$AJ$35,MATCH(Index!B915,'Field Layout'!$B$8:$AJ$8,0),FALSE)</f>
        <v>Border</v>
      </c>
      <c r="B915">
        <v>34</v>
      </c>
      <c r="C915">
        <v>23</v>
      </c>
      <c r="D915">
        <v>150</v>
      </c>
      <c r="E915" t="s">
        <v>54</v>
      </c>
      <c r="F915" t="s">
        <v>92</v>
      </c>
      <c r="G915" t="s">
        <v>99</v>
      </c>
    </row>
    <row r="916" spans="1:7" x14ac:dyDescent="0.45">
      <c r="A916" t="str">
        <f>VLOOKUP(C916,'Field Layout'!$B$9:$AJ$35,MATCH(Index!B916,'Field Layout'!$B$8:$AJ$8,0),FALSE)</f>
        <v>Border</v>
      </c>
      <c r="B916">
        <v>34</v>
      </c>
      <c r="C916">
        <v>24</v>
      </c>
      <c r="D916">
        <v>150</v>
      </c>
      <c r="E916" t="s">
        <v>54</v>
      </c>
      <c r="F916" t="s">
        <v>92</v>
      </c>
      <c r="G916" t="s">
        <v>99</v>
      </c>
    </row>
    <row r="917" spans="1:7" x14ac:dyDescent="0.45">
      <c r="A917" t="str">
        <f>VLOOKUP(C917,'Field Layout'!$B$9:$AJ$35,MATCH(Index!B917,'Field Layout'!$B$8:$AJ$8,0),FALSE)</f>
        <v>Border</v>
      </c>
      <c r="B917">
        <v>34</v>
      </c>
      <c r="C917">
        <v>25</v>
      </c>
      <c r="D917">
        <v>150</v>
      </c>
      <c r="E917" t="s">
        <v>54</v>
      </c>
      <c r="F917" t="s">
        <v>92</v>
      </c>
      <c r="G917" t="s">
        <v>99</v>
      </c>
    </row>
    <row r="918" spans="1:7" x14ac:dyDescent="0.45">
      <c r="A918" t="str">
        <f>VLOOKUP(C918,'Field Layout'!$B$9:$AJ$35,MATCH(Index!B918,'Field Layout'!$B$8:$AJ$8,0),FALSE)</f>
        <v>Border</v>
      </c>
      <c r="B918">
        <v>34</v>
      </c>
      <c r="C918">
        <v>26</v>
      </c>
      <c r="D918">
        <v>150</v>
      </c>
      <c r="E918" t="s">
        <v>54</v>
      </c>
      <c r="F918" t="s">
        <v>92</v>
      </c>
      <c r="G918" t="s">
        <v>99</v>
      </c>
    </row>
    <row r="919" spans="1:7" x14ac:dyDescent="0.45">
      <c r="A919" t="str">
        <f>VLOOKUP(C919,'Field Layout'!$B$9:$AJ$35,MATCH(Index!B919,'Field Layout'!$B$8:$AJ$8,0),FALSE)</f>
        <v>Border</v>
      </c>
      <c r="B919">
        <v>34</v>
      </c>
      <c r="C919">
        <v>27</v>
      </c>
      <c r="D919">
        <v>150</v>
      </c>
      <c r="E919" t="s">
        <v>54</v>
      </c>
      <c r="F919" t="s">
        <v>92</v>
      </c>
      <c r="G919" t="s">
        <v>99</v>
      </c>
    </row>
  </sheetData>
  <conditionalFormatting sqref="G1 F1:F1048576">
    <cfRule type="containsText" dxfId="1" priority="1" operator="containsText" text="Error">
      <formula>NOT(ISERROR(SEARCH("Error",F1)))</formula>
    </cfRule>
    <cfRule type="containsErrors" dxfId="0" priority="2">
      <formula>ISERROR(F1)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Metadata</vt:lpstr>
      <vt:lpstr>Field Layout</vt:lpstr>
      <vt:lpstr>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Turkus</dc:creator>
  <cp:lastModifiedBy>Jon Turkus</cp:lastModifiedBy>
  <cp:lastPrinted>2023-08-03T16:58:16Z</cp:lastPrinted>
  <dcterms:created xsi:type="dcterms:W3CDTF">2023-04-18T20:42:04Z</dcterms:created>
  <dcterms:modified xsi:type="dcterms:W3CDTF">2026-05-18T19:33:41Z</dcterms:modified>
</cp:coreProperties>
</file>